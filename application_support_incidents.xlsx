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76f7e13f9b34de3c/Desktop/"/>
    </mc:Choice>
  </mc:AlternateContent>
  <xr:revisionPtr revIDLastSave="0" documentId="14_{BC1B3653-D872-4C19-8B49-98B2B92CD864}" xr6:coauthVersionLast="47" xr6:coauthVersionMax="47" xr10:uidLastSave="{00000000-0000-0000-0000-000000000000}"/>
  <bookViews>
    <workbookView xWindow="-108" yWindow="-108" windowWidth="23256" windowHeight="12456" activeTab="2" xr2:uid="{1321B206-826D-4330-AFE0-E961439A1591}"/>
  </bookViews>
  <sheets>
    <sheet name="pivot_data" sheetId="3" r:id="rId1"/>
    <sheet name="incidents_data" sheetId="1" r:id="rId2"/>
    <sheet name="dashboard" sheetId="2" r:id="rId3"/>
  </sheets>
  <definedNames>
    <definedName name="Slicer_Application">#N/A</definedName>
    <definedName name="Slicer_Assigned_Team">#N/A</definedName>
    <definedName name="Slicer_Category">#N/A</definedName>
    <definedName name="Slicer_Priority">#N/A</definedName>
    <definedName name="Slicer_SLA_Status">#N/A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2" l="1"/>
  <c r="J5" i="2"/>
  <c r="G5" i="2"/>
  <c r="A5" i="2"/>
  <c r="D5" i="2"/>
  <c r="O2" i="1"/>
  <c r="P2" i="1"/>
  <c r="Q2" i="1"/>
  <c r="O3" i="1"/>
  <c r="P3" i="1"/>
  <c r="Q3" i="1"/>
  <c r="O4" i="1"/>
  <c r="P4" i="1"/>
  <c r="Q4" i="1"/>
  <c r="O5" i="1"/>
  <c r="P5" i="1"/>
  <c r="Q5" i="1"/>
  <c r="O6" i="1"/>
  <c r="P6" i="1"/>
  <c r="Q6" i="1"/>
  <c r="O7" i="1"/>
  <c r="P7" i="1"/>
  <c r="Q7" i="1"/>
  <c r="O8" i="1"/>
  <c r="P8" i="1"/>
  <c r="Q8" i="1"/>
  <c r="O9" i="1"/>
  <c r="P9" i="1"/>
  <c r="Q9" i="1"/>
  <c r="O10" i="1"/>
  <c r="P10" i="1"/>
  <c r="Q10" i="1"/>
  <c r="O11" i="1"/>
  <c r="P11" i="1"/>
  <c r="Q11" i="1"/>
  <c r="O12" i="1"/>
  <c r="P12" i="1"/>
  <c r="Q12" i="1"/>
  <c r="O13" i="1"/>
  <c r="P13" i="1"/>
  <c r="Q13" i="1"/>
  <c r="O14" i="1"/>
  <c r="P14" i="1"/>
  <c r="Q14" i="1"/>
  <c r="O15" i="1"/>
  <c r="P15" i="1"/>
  <c r="Q15" i="1"/>
  <c r="O16" i="1"/>
  <c r="P16" i="1"/>
  <c r="Q16" i="1"/>
  <c r="O17" i="1"/>
  <c r="P17" i="1"/>
  <c r="Q17" i="1"/>
  <c r="O18" i="1"/>
  <c r="P18" i="1"/>
  <c r="Q18" i="1"/>
  <c r="O19" i="1"/>
  <c r="P19" i="1"/>
  <c r="Q19" i="1"/>
  <c r="O20" i="1"/>
  <c r="P20" i="1"/>
  <c r="Q20" i="1"/>
  <c r="O21" i="1"/>
  <c r="P21" i="1"/>
  <c r="Q21" i="1"/>
  <c r="O22" i="1"/>
  <c r="P22" i="1"/>
  <c r="Q22" i="1"/>
  <c r="O23" i="1"/>
  <c r="P23" i="1"/>
  <c r="Q23" i="1"/>
  <c r="O24" i="1"/>
  <c r="P24" i="1"/>
  <c r="Q24" i="1"/>
  <c r="O25" i="1"/>
  <c r="P25" i="1"/>
  <c r="Q25" i="1"/>
  <c r="O26" i="1"/>
  <c r="P26" i="1"/>
  <c r="Q26" i="1"/>
  <c r="O27" i="1"/>
  <c r="P27" i="1"/>
  <c r="Q27" i="1"/>
  <c r="O28" i="1"/>
  <c r="P28" i="1"/>
  <c r="Q28" i="1"/>
  <c r="O29" i="1"/>
  <c r="P29" i="1"/>
  <c r="Q29" i="1"/>
  <c r="O30" i="1"/>
  <c r="P30" i="1"/>
  <c r="Q30" i="1"/>
  <c r="O31" i="1"/>
  <c r="P31" i="1"/>
  <c r="Q31" i="1"/>
  <c r="O32" i="1"/>
  <c r="P32" i="1"/>
  <c r="Q32" i="1"/>
  <c r="O33" i="1"/>
  <c r="P33" i="1"/>
  <c r="Q33" i="1"/>
  <c r="O34" i="1"/>
  <c r="P34" i="1"/>
  <c r="Q34" i="1"/>
  <c r="O35" i="1"/>
  <c r="P35" i="1"/>
  <c r="Q35" i="1"/>
  <c r="O36" i="1"/>
  <c r="P36" i="1"/>
  <c r="Q36" i="1"/>
  <c r="O37" i="1"/>
  <c r="P37" i="1"/>
  <c r="Q37" i="1"/>
  <c r="O38" i="1"/>
  <c r="P38" i="1"/>
  <c r="Q38" i="1"/>
  <c r="O39" i="1"/>
  <c r="P39" i="1"/>
  <c r="Q39" i="1"/>
  <c r="O40" i="1"/>
  <c r="P40" i="1"/>
  <c r="Q40" i="1"/>
  <c r="O41" i="1"/>
  <c r="P41" i="1"/>
  <c r="Q41" i="1"/>
  <c r="O42" i="1"/>
  <c r="P42" i="1"/>
  <c r="Q42" i="1"/>
  <c r="O43" i="1"/>
  <c r="P43" i="1"/>
  <c r="Q43" i="1"/>
  <c r="O44" i="1"/>
  <c r="P44" i="1"/>
  <c r="Q44" i="1"/>
  <c r="O45" i="1"/>
  <c r="P45" i="1"/>
  <c r="Q45" i="1"/>
  <c r="O46" i="1"/>
  <c r="P46" i="1"/>
  <c r="Q46" i="1"/>
  <c r="O47" i="1"/>
  <c r="P47" i="1"/>
  <c r="Q47" i="1"/>
  <c r="O48" i="1"/>
  <c r="P48" i="1"/>
  <c r="Q48" i="1"/>
  <c r="O49" i="1"/>
  <c r="P49" i="1"/>
  <c r="Q49" i="1"/>
  <c r="O50" i="1"/>
  <c r="P50" i="1"/>
  <c r="Q50" i="1"/>
  <c r="O51" i="1"/>
  <c r="P51" i="1"/>
  <c r="Q51" i="1"/>
  <c r="O52" i="1"/>
  <c r="P52" i="1"/>
  <c r="Q52" i="1"/>
  <c r="O53" i="1"/>
  <c r="P53" i="1"/>
  <c r="Q53" i="1"/>
  <c r="O54" i="1"/>
  <c r="P54" i="1"/>
  <c r="Q54" i="1"/>
  <c r="O55" i="1"/>
  <c r="P55" i="1"/>
  <c r="Q55" i="1"/>
  <c r="O56" i="1"/>
  <c r="P56" i="1"/>
  <c r="Q56" i="1"/>
  <c r="O57" i="1"/>
  <c r="P57" i="1"/>
  <c r="Q57" i="1"/>
  <c r="O58" i="1"/>
  <c r="P58" i="1"/>
  <c r="Q58" i="1"/>
  <c r="O59" i="1"/>
  <c r="P59" i="1"/>
  <c r="Q59" i="1"/>
  <c r="O60" i="1"/>
  <c r="P60" i="1"/>
  <c r="Q60" i="1"/>
  <c r="O61" i="1"/>
  <c r="P61" i="1"/>
  <c r="Q61" i="1"/>
</calcChain>
</file>

<file path=xl/sharedStrings.xml><?xml version="1.0" encoding="utf-8"?>
<sst xmlns="http://schemas.openxmlformats.org/spreadsheetml/2006/main" count="592" uniqueCount="188">
  <si>
    <t>Incident_ID</t>
  </si>
  <si>
    <t>Opened_Date</t>
  </si>
  <si>
    <t>Resolved_Date</t>
  </si>
  <si>
    <t>Application</t>
  </si>
  <si>
    <t>Category</t>
  </si>
  <si>
    <t>Priority</t>
  </si>
  <si>
    <t>Status</t>
  </si>
  <si>
    <t>Assigned_Team</t>
  </si>
  <si>
    <t>Root_Cause</t>
  </si>
  <si>
    <t>Resolution_Time_Hours</t>
  </si>
  <si>
    <t>SLA_Target_Hours</t>
  </si>
  <si>
    <t>SLA_Status</t>
  </si>
  <si>
    <t>Users_Affected</t>
  </si>
  <si>
    <t>Resolution_Notes</t>
  </si>
  <si>
    <t>INC-1001</t>
  </si>
  <si>
    <t>Employee Portal</t>
  </si>
  <si>
    <t>Login</t>
  </si>
  <si>
    <t>P2</t>
  </si>
  <si>
    <t>Resolved</t>
  </si>
  <si>
    <t>L1 Support</t>
  </si>
  <si>
    <t>Password Expired</t>
  </si>
  <si>
    <t>Met</t>
  </si>
  <si>
    <t>Password reset and account unlocked</t>
  </si>
  <si>
    <t>INC-1002</t>
  </si>
  <si>
    <t>Payment Gateway</t>
  </si>
  <si>
    <t>API</t>
  </si>
  <si>
    <t>P1</t>
  </si>
  <si>
    <t>Application Team</t>
  </si>
  <si>
    <t>API Timeout</t>
  </si>
  <si>
    <t>Breached</t>
  </si>
  <si>
    <t>API service restarted after validation</t>
  </si>
  <si>
    <t>INC-1003</t>
  </si>
  <si>
    <t>HRMS</t>
  </si>
  <si>
    <t>Access</t>
  </si>
  <si>
    <t>P3</t>
  </si>
  <si>
    <t>Closed</t>
  </si>
  <si>
    <t>Missing User Role</t>
  </si>
  <si>
    <t>Access granted after approval</t>
  </si>
  <si>
    <t>INC-1004</t>
  </si>
  <si>
    <t>Customer Portal</t>
  </si>
  <si>
    <t>Performance</t>
  </si>
  <si>
    <t>Server Overload</t>
  </si>
  <si>
    <t>Service capacity issue escalated</t>
  </si>
  <si>
    <t>INC-1005</t>
  </si>
  <si>
    <t>Network</t>
  </si>
  <si>
    <t>Network Team</t>
  </si>
  <si>
    <t>DNS Failure</t>
  </si>
  <si>
    <t>DNS cache and routing issue fixed</t>
  </si>
  <si>
    <t>INC-1006</t>
  </si>
  <si>
    <t>CRM</t>
  </si>
  <si>
    <t>Database</t>
  </si>
  <si>
    <t>Database Team</t>
  </si>
  <si>
    <t>DB Lock</t>
  </si>
  <si>
    <t>Blocking query identified and resolved</t>
  </si>
  <si>
    <t>INC-1007</t>
  </si>
  <si>
    <t>P4</t>
  </si>
  <si>
    <t>Password reset completed</t>
  </si>
  <si>
    <t>INC-1008</t>
  </si>
  <si>
    <t>API configuration corrected</t>
  </si>
  <si>
    <t>INC-1009</t>
  </si>
  <si>
    <t>High CPU process restarted as per runbook</t>
  </si>
  <si>
    <t>INC-1010</t>
  </si>
  <si>
    <t>Role assigned after manager approval</t>
  </si>
  <si>
    <t>INC-1011</t>
  </si>
  <si>
    <t>DNS server issue escalated and resolved</t>
  </si>
  <si>
    <t>INC-1012</t>
  </si>
  <si>
    <t>Long-running query optimized</t>
  </si>
  <si>
    <t>INC-1013</t>
  </si>
  <si>
    <t>User credentials reset successfully</t>
  </si>
  <si>
    <t>INC-1014</t>
  </si>
  <si>
    <t>DB Connection Failure</t>
  </si>
  <si>
    <t>Database connection pool restarted</t>
  </si>
  <si>
    <t>INC-1015</t>
  </si>
  <si>
    <t>Memory Leak</t>
  </si>
  <si>
    <t>Application service restarted</t>
  </si>
  <si>
    <t>INC-1016</t>
  </si>
  <si>
    <t>Approval Delay</t>
  </si>
  <si>
    <t>Access approved after escalation</t>
  </si>
  <si>
    <t>INC-1017</t>
  </si>
  <si>
    <t>API endpoint response improved</t>
  </si>
  <si>
    <t>INC-1018</t>
  </si>
  <si>
    <t>Firewall Block</t>
  </si>
  <si>
    <t>Firewall rule updated after review</t>
  </si>
  <si>
    <t>INC-1019</t>
  </si>
  <si>
    <t>Account Locked</t>
  </si>
  <si>
    <t>Locked accounts unlocked in bulk</t>
  </si>
  <si>
    <t>INC-1020</t>
  </si>
  <si>
    <t>Deadlock removed and query tuned</t>
  </si>
  <si>
    <t>INC-1021</t>
  </si>
  <si>
    <t>High CPU Usage</t>
  </si>
  <si>
    <t>Background job rescheduled</t>
  </si>
  <si>
    <t>INC-1022</t>
  </si>
  <si>
    <t>DNS configuration corrected</t>
  </si>
  <si>
    <t>INC-1023</t>
  </si>
  <si>
    <t>Required role assigned</t>
  </si>
  <si>
    <t>INC-1024</t>
  </si>
  <si>
    <t>Payment API service restarted</t>
  </si>
  <si>
    <t>INC-1025</t>
  </si>
  <si>
    <t>INC-1026</t>
  </si>
  <si>
    <t>Slow Query</t>
  </si>
  <si>
    <t>Query index added and validated</t>
  </si>
  <si>
    <t>INC-1027</t>
  </si>
  <si>
    <t>Service restarted and monitored</t>
  </si>
  <si>
    <t>INC-1028</t>
  </si>
  <si>
    <t>Load Balancer Failure</t>
  </si>
  <si>
    <t>Load balancer node replaced</t>
  </si>
  <si>
    <t>INC-1029</t>
  </si>
  <si>
    <t>Merchant access role updated</t>
  </si>
  <si>
    <t>INC-1030</t>
  </si>
  <si>
    <t>API gateway settings corrected</t>
  </si>
  <si>
    <t>INC-1031</t>
  </si>
  <si>
    <t>Account unlocked after verification</t>
  </si>
  <si>
    <t>INC-1032</t>
  </si>
  <si>
    <t>Database service restored</t>
  </si>
  <si>
    <t>INC-1033</t>
  </si>
  <si>
    <t>Additional server instance enabled</t>
  </si>
  <si>
    <t>INC-1034</t>
  </si>
  <si>
    <t>Network policy updated</t>
  </si>
  <si>
    <t>INC-1035</t>
  </si>
  <si>
    <t>Approval received and role assigned</t>
  </si>
  <si>
    <t>INC-1036</t>
  </si>
  <si>
    <t>API service restarted after log review</t>
  </si>
  <si>
    <t>INC-1037</t>
  </si>
  <si>
    <t>Password reset through self service</t>
  </si>
  <si>
    <t>INC-1038</t>
  </si>
  <si>
    <t>Blocking transaction rolled back</t>
  </si>
  <si>
    <t>INC-1039</t>
  </si>
  <si>
    <t>Unnecessary batch job stopped</t>
  </si>
  <si>
    <t>INC-1040</t>
  </si>
  <si>
    <t>DNS failover activated</t>
  </si>
  <si>
    <t>INC-1041</t>
  </si>
  <si>
    <t>Role assigned after approval</t>
  </si>
  <si>
    <t>INC-1042</t>
  </si>
  <si>
    <t>Endpoint timeout limit increased</t>
  </si>
  <si>
    <t>INC-1043</t>
  </si>
  <si>
    <t>Account unlocked successfully</t>
  </si>
  <si>
    <t>INC-1044</t>
  </si>
  <si>
    <t>Database index rebuilt</t>
  </si>
  <si>
    <t>INC-1045</t>
  </si>
  <si>
    <t>Service restarted after memory analysis</t>
  </si>
  <si>
    <t>INC-1046</t>
  </si>
  <si>
    <t>Firewall port opened after approval</t>
  </si>
  <si>
    <t>INC-1047</t>
  </si>
  <si>
    <t>Access granted after manager confirmation</t>
  </si>
  <si>
    <t>INC-1048</t>
  </si>
  <si>
    <t>API deployment rolled back</t>
  </si>
  <si>
    <t>INC-1049</t>
  </si>
  <si>
    <t>Passwords reset for impacted users</t>
  </si>
  <si>
    <t>INC-1050</t>
  </si>
  <si>
    <t>Transaction issue resolved</t>
  </si>
  <si>
    <t>INC-1051</t>
  </si>
  <si>
    <t>Application cache cleared</t>
  </si>
  <si>
    <t>INC-1052</t>
  </si>
  <si>
    <t>DNS records corrected</t>
  </si>
  <si>
    <t>INC-1053</t>
  </si>
  <si>
    <t>Access role mapped successfully</t>
  </si>
  <si>
    <t>INC-1054</t>
  </si>
  <si>
    <t>API cluster restarted</t>
  </si>
  <si>
    <t>INC-1055</t>
  </si>
  <si>
    <t>Account unlocked after identity verification</t>
  </si>
  <si>
    <t>INC-1056</t>
  </si>
  <si>
    <t>Database listener restarted</t>
  </si>
  <si>
    <t>INC-1057</t>
  </si>
  <si>
    <t>Background service optimized</t>
  </si>
  <si>
    <t>INC-1058</t>
  </si>
  <si>
    <t>Traffic routed to standby node</t>
  </si>
  <si>
    <t>INC-1059</t>
  </si>
  <si>
    <t>Access approved and enabled</t>
  </si>
  <si>
    <t>INC-1060</t>
  </si>
  <si>
    <t>API configuration updated and tested</t>
  </si>
  <si>
    <t>Month</t>
  </si>
  <si>
    <t>SLA_diff_hours</t>
  </si>
  <si>
    <t>support_level</t>
  </si>
  <si>
    <t>Application Support Incident &amp; SLA Analytics Dashboard</t>
  </si>
  <si>
    <t>total incidents</t>
  </si>
  <si>
    <t>SLA compliance</t>
  </si>
  <si>
    <t>avg resolution time</t>
  </si>
  <si>
    <t>critical p1 incidents</t>
  </si>
  <si>
    <t>total users affected</t>
  </si>
  <si>
    <t>Row Labels</t>
  </si>
  <si>
    <t>Grand Total</t>
  </si>
  <si>
    <t>incidents by application</t>
  </si>
  <si>
    <t>incident distribution by priority</t>
  </si>
  <si>
    <t>sla breaches by application</t>
  </si>
  <si>
    <t>Average of Resolution_Time by category</t>
  </si>
  <si>
    <t>top root causes</t>
  </si>
  <si>
    <t>incident trend over time</t>
  </si>
  <si>
    <t>Key Insights:
• Tracks incident volume, critical incidents, and affected users.
• Measures SLA compliance and identifies applications with SLA breaches.
• Identifies recurring root causes for faster troubleshooting and escalation.
• Supports data-driven application support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</si>
</sst>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2" xfId="0" applyBorder="1"/>
    <xf numFmtId="0" fontId="0" fillId="0" borderId="3" xfId="0" applyBorder="1"/>
    <xf numFmtId="0" fontId="0" fillId="0" borderId="7" xfId="0" applyBorder="1"/>
    <xf numFmtId="14" fontId="0" fillId="0" borderId="8" xfId="0" applyNumberFormat="1" applyBorder="1"/>
    <xf numFmtId="0" fontId="0" fillId="0" borderId="8" xfId="0" applyBorder="1"/>
    <xf numFmtId="0" fontId="0" fillId="0" borderId="9" xfId="0" applyBorder="1"/>
    <xf numFmtId="0" fontId="1" fillId="0" borderId="0" xfId="0" applyFont="1"/>
    <xf numFmtId="0" fontId="1" fillId="0" borderId="4" xfId="0" applyFont="1" applyBorder="1"/>
    <xf numFmtId="14" fontId="1" fillId="0" borderId="5" xfId="0" applyNumberFormat="1" applyFont="1" applyBorder="1"/>
    <xf numFmtId="0" fontId="1" fillId="0" borderId="5" xfId="0" applyFont="1" applyBorder="1"/>
    <xf numFmtId="0" fontId="1" fillId="0" borderId="6" xfId="0" applyFont="1" applyBorder="1"/>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 fillId="0" borderId="0" xfId="0" applyFont="1" applyAlignment="1">
      <alignment horizontal="center" wrapText="1"/>
    </xf>
  </cellXfs>
  <cellStyles count="1">
    <cellStyle name="Normal" xfId="0" builtinId="0"/>
  </cellStyles>
  <dxfs count="21">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[application_support_incidents.xlsx]pivot_data!PivotTable1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pivot_data!$B$3</c:f>
              <c:strCache>
                <c:ptCount val="1"/>
                <c:pt idx="0">
                  <c:v>Total</c:v>
                </c:pt>
              </c:strCache>
            </c:strRef>
          </c:tx>
          <c:spPr>
            <a:solidFill>
              <a:schemeClr val="accent1"/>
            </a:solidFill>
            <a:ln>
              <a:noFill/>
            </a:ln>
            <a:effectLst/>
          </c:spPr>
          <c:invertIfNegative val="0"/>
          <c:cat>
            <c:strRef>
              <c:f>pivot_data!$A$4:$A$5</c:f>
              <c:strCache>
                <c:ptCount val="1"/>
                <c:pt idx="0">
                  <c:v>Employee Portal</c:v>
                </c:pt>
              </c:strCache>
            </c:strRef>
          </c:cat>
          <c:val>
            <c:numRef>
              <c:f>pivot_data!$B$4:$B$5</c:f>
              <c:numCache>
                <c:formatCode>General</c:formatCode>
                <c:ptCount val="1"/>
                <c:pt idx="0">
                  <c:v>4</c:v>
                </c:pt>
              </c:numCache>
            </c:numRef>
          </c:val>
          <c:extLst>
            <c:ext xmlns:c16="http://schemas.microsoft.com/office/drawing/2014/chart" uri="{C3380CC4-5D6E-409C-BE32-E72D297353CC}">
              <c16:uniqueId val="{00000000-24ED-4968-81C5-53D43191D248}"/>
            </c:ext>
          </c:extLst>
        </c:ser>
        <c:dLbls>
          <c:showLegendKey val="0"/>
          <c:showVal val="0"/>
          <c:showCatName val="0"/>
          <c:showSerName val="0"/>
          <c:showPercent val="0"/>
          <c:showBubbleSize val="0"/>
        </c:dLbls>
        <c:gapWidth val="182"/>
        <c:axId val="1148933296"/>
        <c:axId val="1012209328"/>
      </c:barChart>
      <c:catAx>
        <c:axId val="114893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09328"/>
        <c:crosses val="autoZero"/>
        <c:auto val="1"/>
        <c:lblAlgn val="ctr"/>
        <c:lblOffset val="100"/>
        <c:noMultiLvlLbl val="0"/>
      </c:catAx>
      <c:valAx>
        <c:axId val="1012209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93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[application_support_incidents.xlsx]pivot_data!PivotTable2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pivot_data!$H$8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73-4D01-BF58-3EA8F07B1B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73-4D01-BF58-3EA8F07B1B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73-4D01-BF58-3EA8F07B1B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73-4D01-BF58-3EA8F07B1B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pivot_data!$G$9:$G$11</c:f>
              <c:strCache>
                <c:ptCount val="2"/>
                <c:pt idx="0">
                  <c:v>P1</c:v>
                </c:pt>
                <c:pt idx="1">
                  <c:v>P2</c:v>
                </c:pt>
              </c:strCache>
            </c:strRef>
          </c:cat>
          <c:val>
            <c:numRef>
              <c:f>pivot_data!$H$9:$H$11</c:f>
              <c:numCache>
                <c:formatCode>General</c:formatCode>
                <c:ptCount val="2"/>
                <c:pt idx="0">
                  <c:v>1</c:v>
                </c:pt>
                <c:pt idx="1">
                  <c:v>3</c:v>
                </c:pt>
              </c:numCache>
            </c:numRef>
          </c:val>
          <c:extLst>
            <c:ext xmlns:c16="http://schemas.microsoft.com/office/drawing/2014/chart" uri="{C3380CC4-5D6E-409C-BE32-E72D297353CC}">
              <c16:uniqueId val="{00000008-9D73-4D01-BF58-3EA8F07B1B6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[application_support_incidents.xlsx]pivot_data!PivotTable3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pivot_data!$D$17</c:f>
              <c:strCache>
                <c:ptCount val="1"/>
                <c:pt idx="0">
                  <c:v>Total</c:v>
                </c:pt>
              </c:strCache>
            </c:strRef>
          </c:tx>
          <c:spPr>
            <a:solidFill>
              <a:schemeClr val="accent1"/>
            </a:solidFill>
            <a:ln>
              <a:noFill/>
            </a:ln>
            <a:effectLst/>
          </c:spPr>
          <c:invertIfNegative val="0"/>
          <c:cat>
            <c:strRef>
              <c:f>pivot_data!$C$18:$C$19</c:f>
              <c:strCache>
                <c:ptCount val="1"/>
                <c:pt idx="0">
                  <c:v>Employee Portal</c:v>
                </c:pt>
              </c:strCache>
            </c:strRef>
          </c:cat>
          <c:val>
            <c:numRef>
              <c:f>pivot_data!$D$18:$D$19</c:f>
              <c:numCache>
                <c:formatCode>General</c:formatCode>
                <c:ptCount val="1"/>
                <c:pt idx="0">
                  <c:v>4</c:v>
                </c:pt>
              </c:numCache>
            </c:numRef>
          </c:val>
          <c:extLst>
            <c:ext xmlns:c16="http://schemas.microsoft.com/office/drawing/2014/chart" uri="{C3380CC4-5D6E-409C-BE32-E72D297353CC}">
              <c16:uniqueId val="{00000000-9C0F-4F5B-9B14-0EDADFECDCDA}"/>
            </c:ext>
          </c:extLst>
        </c:ser>
        <c:dLbls>
          <c:showLegendKey val="0"/>
          <c:showVal val="0"/>
          <c:showCatName val="0"/>
          <c:showSerName val="0"/>
          <c:showPercent val="0"/>
          <c:showBubbleSize val="0"/>
        </c:dLbls>
        <c:gapWidth val="219"/>
        <c:overlap val="-27"/>
        <c:axId val="1148925408"/>
        <c:axId val="1012281328"/>
      </c:barChart>
      <c:catAx>
        <c:axId val="114892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81328"/>
        <c:crosses val="autoZero"/>
        <c:auto val="1"/>
        <c:lblAlgn val="ctr"/>
        <c:lblOffset val="100"/>
        <c:noMultiLvlLbl val="0"/>
      </c:catAx>
      <c:valAx>
        <c:axId val="101228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92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[application_support_incidents.xlsx]pivot_data!PivotTable4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pivot_data!$H$21</c:f>
              <c:strCache>
                <c:ptCount val="1"/>
                <c:pt idx="0">
                  <c:v>Total</c:v>
                </c:pt>
              </c:strCache>
            </c:strRef>
          </c:tx>
          <c:spPr>
            <a:solidFill>
              <a:schemeClr val="accent1"/>
            </a:solidFill>
            <a:ln>
              <a:noFill/>
            </a:ln>
            <a:effectLst/>
          </c:spPr>
          <c:invertIfNegative val="0"/>
          <c:cat>
            <c:strRef>
              <c:f>pivot_data!$G$22:$G$24</c:f>
              <c:strCache>
                <c:ptCount val="2"/>
                <c:pt idx="0">
                  <c:v>Database</c:v>
                </c:pt>
                <c:pt idx="1">
                  <c:v>Network</c:v>
                </c:pt>
              </c:strCache>
            </c:strRef>
          </c:cat>
          <c:val>
            <c:numRef>
              <c:f>pivot_data!$H$22:$H$24</c:f>
              <c:numCache>
                <c:formatCode>General</c:formatCode>
                <c:ptCount val="2"/>
                <c:pt idx="0">
                  <c:v>7</c:v>
                </c:pt>
                <c:pt idx="1">
                  <c:v>9.3333333333333339</c:v>
                </c:pt>
              </c:numCache>
            </c:numRef>
          </c:val>
          <c:extLst>
            <c:ext xmlns:c16="http://schemas.microsoft.com/office/drawing/2014/chart" uri="{C3380CC4-5D6E-409C-BE32-E72D297353CC}">
              <c16:uniqueId val="{00000000-91F0-4BDF-8A94-A8EED726925F}"/>
            </c:ext>
          </c:extLst>
        </c:ser>
        <c:dLbls>
          <c:showLegendKey val="0"/>
          <c:showVal val="0"/>
          <c:showCatName val="0"/>
          <c:showSerName val="0"/>
          <c:showPercent val="0"/>
          <c:showBubbleSize val="0"/>
        </c:dLbls>
        <c:gapWidth val="182"/>
        <c:axId val="1225770400"/>
        <c:axId val="1012247728"/>
      </c:barChart>
      <c:catAx>
        <c:axId val="122577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47728"/>
        <c:crosses val="autoZero"/>
        <c:auto val="1"/>
        <c:lblAlgn val="ctr"/>
        <c:lblOffset val="100"/>
        <c:noMultiLvlLbl val="0"/>
      </c:catAx>
      <c:valAx>
        <c:axId val="1012247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7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[application_support_incidents.xlsx]pivot_data!PivotTable5</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pivot_data!$E$29</c:f>
              <c:strCache>
                <c:ptCount val="1"/>
                <c:pt idx="0">
                  <c:v>Total</c:v>
                </c:pt>
              </c:strCache>
            </c:strRef>
          </c:tx>
          <c:spPr>
            <a:solidFill>
              <a:schemeClr val="accent1"/>
            </a:solidFill>
            <a:ln>
              <a:noFill/>
            </a:ln>
            <a:effectLst/>
          </c:spPr>
          <c:invertIfNegative val="0"/>
          <c:cat>
            <c:strRef>
              <c:f>pivot_data!$D$30:$D$32</c:f>
              <c:strCache>
                <c:ptCount val="2"/>
                <c:pt idx="0">
                  <c:v>DB Connection Failure</c:v>
                </c:pt>
                <c:pt idx="1">
                  <c:v>DNS Failure</c:v>
                </c:pt>
              </c:strCache>
            </c:strRef>
          </c:cat>
          <c:val>
            <c:numRef>
              <c:f>pivot_data!$E$30:$E$32</c:f>
              <c:numCache>
                <c:formatCode>General</c:formatCode>
                <c:ptCount val="2"/>
                <c:pt idx="0">
                  <c:v>1</c:v>
                </c:pt>
                <c:pt idx="1">
                  <c:v>3</c:v>
                </c:pt>
              </c:numCache>
            </c:numRef>
          </c:val>
          <c:extLst>
            <c:ext xmlns:c16="http://schemas.microsoft.com/office/drawing/2014/chart" uri="{C3380CC4-5D6E-409C-BE32-E72D297353CC}">
              <c16:uniqueId val="{00000000-70EB-4BAE-8039-0BA6AC940133}"/>
            </c:ext>
          </c:extLst>
        </c:ser>
        <c:dLbls>
          <c:showLegendKey val="0"/>
          <c:showVal val="0"/>
          <c:showCatName val="0"/>
          <c:showSerName val="0"/>
          <c:showPercent val="0"/>
          <c:showBubbleSize val="0"/>
        </c:dLbls>
        <c:gapWidth val="150"/>
        <c:overlap val="100"/>
        <c:axId val="351265392"/>
        <c:axId val="1211279024"/>
      </c:barChart>
      <c:catAx>
        <c:axId val="35126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79024"/>
        <c:crosses val="autoZero"/>
        <c:auto val="1"/>
        <c:lblAlgn val="ctr"/>
        <c:lblOffset val="100"/>
        <c:noMultiLvlLbl val="0"/>
      </c:catAx>
      <c:valAx>
        <c:axId val="1211279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6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[application_support_incidents.xlsx]pivot_data!PivotTable6</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pivot_data!$I$39</c:f>
              <c:strCache>
                <c:ptCount val="1"/>
                <c:pt idx="0">
                  <c:v>Total</c:v>
                </c:pt>
              </c:strCache>
            </c:strRef>
          </c:tx>
          <c:spPr>
            <a:ln w="28575" cap="rnd">
              <a:solidFill>
                <a:schemeClr val="accent1"/>
              </a:solidFill>
              <a:round/>
            </a:ln>
            <a:effectLst/>
          </c:spPr>
          <c:marker>
            <c:symbol val="none"/>
          </c:marker>
          <c:cat>
            <c:strRef>
              <c:f>pivot_data!$H$40:$H$44</c:f>
              <c:strCache>
                <c:ptCount val="4"/>
                <c:pt idx="0">
                  <c:v>06-06-2026</c:v>
                </c:pt>
                <c:pt idx="1">
                  <c:v>11-06-2026</c:v>
                </c:pt>
                <c:pt idx="2">
                  <c:v>16-06-2026</c:v>
                </c:pt>
                <c:pt idx="3">
                  <c:v>26-06-2026</c:v>
                </c:pt>
              </c:strCache>
            </c:strRef>
          </c:cat>
          <c:val>
            <c:numRef>
              <c:f>pivot_data!$I$40:$I$44</c:f>
              <c:numCache>
                <c:formatCode>General</c:formatCode>
                <c:ptCount val="4"/>
                <c:pt idx="0">
                  <c:v>1</c:v>
                </c:pt>
                <c:pt idx="1">
                  <c:v>1</c:v>
                </c:pt>
                <c:pt idx="2">
                  <c:v>1</c:v>
                </c:pt>
                <c:pt idx="3">
                  <c:v>1</c:v>
                </c:pt>
              </c:numCache>
            </c:numRef>
          </c:val>
          <c:smooth val="0"/>
          <c:extLst>
            <c:ext xmlns:c16="http://schemas.microsoft.com/office/drawing/2014/chart" uri="{C3380CC4-5D6E-409C-BE32-E72D297353CC}">
              <c16:uniqueId val="{00000000-8AB0-41F9-8FAB-28795F439E99}"/>
            </c:ext>
          </c:extLst>
        </c:ser>
        <c:dLbls>
          <c:showLegendKey val="0"/>
          <c:showVal val="0"/>
          <c:showCatName val="0"/>
          <c:showSerName val="0"/>
          <c:showPercent val="0"/>
          <c:showBubbleSize val="0"/>
        </c:dLbls>
        <c:smooth val="0"/>
        <c:axId val="1211236640"/>
        <c:axId val="1211254064"/>
      </c:lineChart>
      <c:catAx>
        <c:axId val="121123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54064"/>
        <c:crosses val="autoZero"/>
        <c:auto val="1"/>
        <c:lblAlgn val="ctr"/>
        <c:lblOffset val="100"/>
        <c:noMultiLvlLbl val="0"/>
      </c:catAx>
      <c:valAx>
        <c:axId val="121125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3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586740</xdr:colOff>
      <xdr:row>15</xdr:row>
      <xdr:rowOff>68580</xdr:rowOff>
    </xdr:from>
    <xdr:to>
      <xdr:col>2</xdr:col>
      <xdr:colOff>952500</xdr:colOff>
      <xdr:row>29</xdr:row>
      <xdr:rowOff>89535</xdr:rowOff>
    </xdr:to>
    <mc:AlternateContent xmlns:mc="http://schemas.openxmlformats.org/markup-compatibility/2006">
      <mc:Choice xmlns:a14="http://schemas.microsoft.com/office/drawing/2010/main" Requires="a14">
        <xdr:graphicFrame macro="">
          <xdr:nvGraphicFramePr>
            <xdr:cNvPr id="8" name="Application">
              <a:extLst>
                <a:ext uri="{FF2B5EF4-FFF2-40B4-BE49-F238E27FC236}">
                  <a16:creationId xmlns:a16="http://schemas.microsoft.com/office/drawing/2014/main" id="{58C7C560-B45C-83C4-5FD7-CA42BFCE7502}"/>
                </a:ext>
              </a:extLst>
            </xdr:cNvPr>
            <xdr:cNvGraphicFramePr/>
          </xdr:nvGraphicFramePr>
          <xdr:xfrm>
            <a:off x="0" y="0"/>
            <a:ext cx="0" cy="0"/>
          </xdr:xfrm>
          <a:graphic>
            <a:graphicData uri="http://schemas.microsoft.com/office/drawing/2010/slicer">
              <sle:slicer xmlns:sle="http://schemas.microsoft.com/office/drawing/2010/slicer" name="Application"/>
            </a:graphicData>
          </a:graphic>
        </xdr:graphicFrame>
      </mc:Choice>
      <mc:Fallback>
        <xdr:sp macro="" textlink="">
          <xdr:nvSpPr>
            <xdr:cNvPr id="0" name=""/>
            <xdr:cNvSpPr>
              <a:spLocks noTextEdit="1"/>
            </xdr:cNvSpPr>
          </xdr:nvSpPr>
          <xdr:spPr>
            <a:xfrm>
              <a:off x="1546860" y="2811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838200</xdr:colOff>
      <xdr:row>23</xdr:row>
      <xdr:rowOff>38100</xdr:rowOff>
    </xdr:from>
    <xdr:to>
      <xdr:col>3</xdr:col>
      <xdr:colOff>243840</xdr:colOff>
      <xdr:row>37</xdr:row>
      <xdr:rowOff>59055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00EF1DEF-01AB-9370-AA58-A56098C0032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98320" y="4244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861060</xdr:colOff>
      <xdr:row>18</xdr:row>
      <xdr:rowOff>0</xdr:rowOff>
    </xdr:from>
    <xdr:to>
      <xdr:col>5</xdr:col>
      <xdr:colOff>449580</xdr:colOff>
      <xdr:row>32</xdr:row>
      <xdr:rowOff>20955</xdr:rowOff>
    </xdr:to>
    <mc:AlternateContent xmlns:mc="http://schemas.openxmlformats.org/markup-compatibility/2006">
      <mc:Choice xmlns:a14="http://schemas.microsoft.com/office/drawing/2010/main" Requires="a14">
        <xdr:graphicFrame macro="">
          <xdr:nvGraphicFramePr>
            <xdr:cNvPr id="10" name="Priority">
              <a:extLst>
                <a:ext uri="{FF2B5EF4-FFF2-40B4-BE49-F238E27FC236}">
                  <a16:creationId xmlns:a16="http://schemas.microsoft.com/office/drawing/2014/main" id="{43282965-75C9-36A3-05F5-0DA8CEA73026}"/>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4244340" y="3291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20</xdr:row>
      <xdr:rowOff>114300</xdr:rowOff>
    </xdr:from>
    <xdr:to>
      <xdr:col>6</xdr:col>
      <xdr:colOff>320040</xdr:colOff>
      <xdr:row>34</xdr:row>
      <xdr:rowOff>135255</xdr:rowOff>
    </xdr:to>
    <mc:AlternateContent xmlns:mc="http://schemas.openxmlformats.org/markup-compatibility/2006">
      <mc:Choice xmlns:a14="http://schemas.microsoft.com/office/drawing/2010/main" Requires="a14">
        <xdr:graphicFrame macro="">
          <xdr:nvGraphicFramePr>
            <xdr:cNvPr id="11" name="Assigned_Team">
              <a:extLst>
                <a:ext uri="{FF2B5EF4-FFF2-40B4-BE49-F238E27FC236}">
                  <a16:creationId xmlns:a16="http://schemas.microsoft.com/office/drawing/2014/main" id="{420F2716-409D-4BE3-AD5D-BDE49DA34CC5}"/>
                </a:ext>
              </a:extLst>
            </xdr:cNvPr>
            <xdr:cNvGraphicFramePr/>
          </xdr:nvGraphicFramePr>
          <xdr:xfrm>
            <a:off x="0" y="0"/>
            <a:ext cx="0" cy="0"/>
          </xdr:xfrm>
          <a:graphic>
            <a:graphicData uri="http://schemas.microsoft.com/office/drawing/2010/slicer">
              <sle:slicer xmlns:sle="http://schemas.microsoft.com/office/drawing/2010/slicer" name="Assigned_Team"/>
            </a:graphicData>
          </a:graphic>
        </xdr:graphicFrame>
      </mc:Choice>
      <mc:Fallback>
        <xdr:sp macro="" textlink="">
          <xdr:nvSpPr>
            <xdr:cNvPr id="0" name=""/>
            <xdr:cNvSpPr>
              <a:spLocks noTextEdit="1"/>
            </xdr:cNvSpPr>
          </xdr:nvSpPr>
          <xdr:spPr>
            <a:xfrm>
              <a:off x="4724400" y="3771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23</xdr:row>
      <xdr:rowOff>45720</xdr:rowOff>
    </xdr:from>
    <xdr:to>
      <xdr:col>6</xdr:col>
      <xdr:colOff>800100</xdr:colOff>
      <xdr:row>37</xdr:row>
      <xdr:rowOff>66675</xdr:rowOff>
    </xdr:to>
    <mc:AlternateContent xmlns:mc="http://schemas.openxmlformats.org/markup-compatibility/2006">
      <mc:Choice xmlns:a14="http://schemas.microsoft.com/office/drawing/2010/main" Requires="a14">
        <xdr:graphicFrame macro="">
          <xdr:nvGraphicFramePr>
            <xdr:cNvPr id="12" name="SLA_Status">
              <a:extLst>
                <a:ext uri="{FF2B5EF4-FFF2-40B4-BE49-F238E27FC236}">
                  <a16:creationId xmlns:a16="http://schemas.microsoft.com/office/drawing/2014/main" id="{D5D0BC37-D451-7C07-CAF8-7EF4EDD2A742}"/>
                </a:ext>
              </a:extLst>
            </xdr:cNvPr>
            <xdr:cNvGraphicFramePr/>
          </xdr:nvGraphicFramePr>
          <xdr:xfrm>
            <a:off x="0" y="0"/>
            <a:ext cx="0" cy="0"/>
          </xdr:xfrm>
          <a:graphic>
            <a:graphicData uri="http://schemas.microsoft.com/office/drawing/2010/slicer">
              <sle:slicer xmlns:sle="http://schemas.microsoft.com/office/drawing/2010/slicer" name="SLA_Status"/>
            </a:graphicData>
          </a:graphic>
        </xdr:graphicFrame>
      </mc:Choice>
      <mc:Fallback>
        <xdr:sp macro="" textlink="">
          <xdr:nvSpPr>
            <xdr:cNvPr id="0" name=""/>
            <xdr:cNvSpPr>
              <a:spLocks noTextEdit="1"/>
            </xdr:cNvSpPr>
          </xdr:nvSpPr>
          <xdr:spPr>
            <a:xfrm>
              <a:off x="5204460" y="4251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8</xdr:row>
      <xdr:rowOff>22860</xdr:rowOff>
    </xdr:from>
    <xdr:to>
      <xdr:col>6</xdr:col>
      <xdr:colOff>7620</xdr:colOff>
      <xdr:row>22</xdr:row>
      <xdr:rowOff>53340</xdr:rowOff>
    </xdr:to>
    <xdr:graphicFrame macro="">
      <xdr:nvGraphicFramePr>
        <xdr:cNvPr id="2" name="Chart 1">
          <a:extLst>
            <a:ext uri="{FF2B5EF4-FFF2-40B4-BE49-F238E27FC236}">
              <a16:creationId xmlns:a16="http://schemas.microsoft.com/office/drawing/2014/main" id="{0E32A5EB-E9A0-F3E5-D592-DAFD2E914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xdr:colOff>
      <xdr:row>8</xdr:row>
      <xdr:rowOff>30480</xdr:rowOff>
    </xdr:from>
    <xdr:to>
      <xdr:col>12</xdr:col>
      <xdr:colOff>38100</xdr:colOff>
      <xdr:row>21</xdr:row>
      <xdr:rowOff>175260</xdr:rowOff>
    </xdr:to>
    <xdr:graphicFrame macro="">
      <xdr:nvGraphicFramePr>
        <xdr:cNvPr id="3" name="Chart 2">
          <a:extLst>
            <a:ext uri="{FF2B5EF4-FFF2-40B4-BE49-F238E27FC236}">
              <a16:creationId xmlns:a16="http://schemas.microsoft.com/office/drawing/2014/main" id="{92CAF547-F26A-D2F5-68AA-EC38E9D7B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xdr:colOff>
      <xdr:row>5</xdr:row>
      <xdr:rowOff>121920</xdr:rowOff>
    </xdr:from>
    <xdr:to>
      <xdr:col>17</xdr:col>
      <xdr:colOff>563880</xdr:colOff>
      <xdr:row>19</xdr:row>
      <xdr:rowOff>0</xdr:rowOff>
    </xdr:to>
    <xdr:graphicFrame macro="">
      <xdr:nvGraphicFramePr>
        <xdr:cNvPr id="4" name="Chart 3">
          <a:extLst>
            <a:ext uri="{FF2B5EF4-FFF2-40B4-BE49-F238E27FC236}">
              <a16:creationId xmlns:a16="http://schemas.microsoft.com/office/drawing/2014/main" id="{D5D2304A-C4AD-8344-8A53-81079F4FF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22860</xdr:rowOff>
    </xdr:from>
    <xdr:to>
      <xdr:col>6</xdr:col>
      <xdr:colOff>0</xdr:colOff>
      <xdr:row>38</xdr:row>
      <xdr:rowOff>41910</xdr:rowOff>
    </xdr:to>
    <xdr:graphicFrame macro="">
      <xdr:nvGraphicFramePr>
        <xdr:cNvPr id="5" name="Chart 4">
          <a:extLst>
            <a:ext uri="{FF2B5EF4-FFF2-40B4-BE49-F238E27FC236}">
              <a16:creationId xmlns:a16="http://schemas.microsoft.com/office/drawing/2014/main" id="{DD77F5AB-EF84-81A0-657D-48D9E267D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23</xdr:row>
      <xdr:rowOff>38100</xdr:rowOff>
    </xdr:from>
    <xdr:to>
      <xdr:col>11</xdr:col>
      <xdr:colOff>594360</xdr:colOff>
      <xdr:row>38</xdr:row>
      <xdr:rowOff>30480</xdr:rowOff>
    </xdr:to>
    <xdr:graphicFrame macro="">
      <xdr:nvGraphicFramePr>
        <xdr:cNvPr id="6" name="Chart 5">
          <a:extLst>
            <a:ext uri="{FF2B5EF4-FFF2-40B4-BE49-F238E27FC236}">
              <a16:creationId xmlns:a16="http://schemas.microsoft.com/office/drawing/2014/main" id="{2ECB79F0-2F53-7BD8-6485-07536F8AE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22860</xdr:colOff>
      <xdr:row>23</xdr:row>
      <xdr:rowOff>68580</xdr:rowOff>
    </xdr:from>
    <xdr:to>
      <xdr:col>12</xdr:col>
      <xdr:colOff>60960</xdr:colOff>
      <xdr:row>38</xdr:row>
      <xdr:rowOff>30480</xdr:rowOff>
    </xdr:to>
    <xdr:graphicFrame macro="">
      <xdr:nvGraphicFramePr>
        <xdr:cNvPr id="7" name="Chart 6">
          <a:extLst>
            <a:ext uri="{FF2B5EF4-FFF2-40B4-BE49-F238E27FC236}">
              <a16:creationId xmlns:a16="http://schemas.microsoft.com/office/drawing/2014/main" id="{76A41756-4FEF-9CCD-7A3A-13A4D494D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259080</xdr:colOff>
      <xdr:row>22</xdr:row>
      <xdr:rowOff>106680</xdr:rowOff>
    </xdr:from>
    <xdr:to>
      <xdr:col>15</xdr:col>
      <xdr:colOff>68580</xdr:colOff>
      <xdr:row>32</xdr:row>
      <xdr:rowOff>121919</xdr:rowOff>
    </xdr:to>
    <mc:AlternateContent xmlns:mc="http://schemas.openxmlformats.org/markup-compatibility/2006">
      <mc:Choice xmlns:a14="http://schemas.microsoft.com/office/drawing/2010/main" Requires="a14">
        <xdr:graphicFrame macro="">
          <xdr:nvGraphicFramePr>
            <xdr:cNvPr id="9" name="Application 1">
              <a:extLst>
                <a:ext uri="{FF2B5EF4-FFF2-40B4-BE49-F238E27FC236}">
                  <a16:creationId xmlns:a16="http://schemas.microsoft.com/office/drawing/2014/main" id="{E9D8CAAA-386B-49D9-BA25-C72D5C1AE917}"/>
                </a:ext>
              </a:extLst>
            </xdr:cNvPr>
            <xdr:cNvGraphicFramePr/>
          </xdr:nvGraphicFramePr>
          <xdr:xfrm>
            <a:off x="0" y="0"/>
            <a:ext cx="0" cy="0"/>
          </xdr:xfrm>
          <a:graphic>
            <a:graphicData uri="http://schemas.microsoft.com/office/drawing/2010/slicer">
              <sle:slicer xmlns:sle="http://schemas.microsoft.com/office/drawing/2010/slicer" name="Application 1"/>
            </a:graphicData>
          </a:graphic>
        </xdr:graphicFrame>
      </mc:Choice>
      <mc:Fallback>
        <xdr:sp macro="" textlink="">
          <xdr:nvSpPr>
            <xdr:cNvPr id="0" name=""/>
            <xdr:cNvSpPr>
              <a:spLocks noTextEdit="1"/>
            </xdr:cNvSpPr>
          </xdr:nvSpPr>
          <xdr:spPr>
            <a:xfrm>
              <a:off x="7610139" y="4051151"/>
              <a:ext cx="1647265" cy="180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129540</xdr:colOff>
      <xdr:row>22</xdr:row>
      <xdr:rowOff>106681</xdr:rowOff>
    </xdr:from>
    <xdr:to>
      <xdr:col>17</xdr:col>
      <xdr:colOff>571500</xdr:colOff>
      <xdr:row>32</xdr:row>
      <xdr:rowOff>160021</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C44A6764-061C-4E97-B858-2EEA492A6DF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318364" y="4051152"/>
              <a:ext cx="1667136" cy="1846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259080</xdr:colOff>
      <xdr:row>33</xdr:row>
      <xdr:rowOff>22861</xdr:rowOff>
    </xdr:from>
    <xdr:to>
      <xdr:col>15</xdr:col>
      <xdr:colOff>198120</xdr:colOff>
      <xdr:row>41</xdr:row>
      <xdr:rowOff>106681</xdr:rowOff>
    </xdr:to>
    <mc:AlternateContent xmlns:mc="http://schemas.openxmlformats.org/markup-compatibility/2006">
      <mc:Choice xmlns:a14="http://schemas.microsoft.com/office/drawing/2010/main" Requires="a14">
        <xdr:graphicFrame macro="">
          <xdr:nvGraphicFramePr>
            <xdr:cNvPr id="11" name="Priority 1">
              <a:extLst>
                <a:ext uri="{FF2B5EF4-FFF2-40B4-BE49-F238E27FC236}">
                  <a16:creationId xmlns:a16="http://schemas.microsoft.com/office/drawing/2014/main" id="{4FCF1BED-34EF-4E09-82EF-3865DD8D164B}"/>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dr:sp macro="" textlink="">
          <xdr:nvSpPr>
            <xdr:cNvPr id="0" name=""/>
            <xdr:cNvSpPr>
              <a:spLocks noTextEdit="1"/>
            </xdr:cNvSpPr>
          </xdr:nvSpPr>
          <xdr:spPr>
            <a:xfrm>
              <a:off x="7610139" y="5939567"/>
              <a:ext cx="1776805" cy="1518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251460</xdr:colOff>
      <xdr:row>33</xdr:row>
      <xdr:rowOff>91439</xdr:rowOff>
    </xdr:from>
    <xdr:to>
      <xdr:col>17</xdr:col>
      <xdr:colOff>563880</xdr:colOff>
      <xdr:row>41</xdr:row>
      <xdr:rowOff>30480</xdr:rowOff>
    </xdr:to>
    <mc:AlternateContent xmlns:mc="http://schemas.openxmlformats.org/markup-compatibility/2006">
      <mc:Choice xmlns:a14="http://schemas.microsoft.com/office/drawing/2010/main" Requires="a14">
        <xdr:graphicFrame macro="">
          <xdr:nvGraphicFramePr>
            <xdr:cNvPr id="12" name="Assigned_Team 1">
              <a:extLst>
                <a:ext uri="{FF2B5EF4-FFF2-40B4-BE49-F238E27FC236}">
                  <a16:creationId xmlns:a16="http://schemas.microsoft.com/office/drawing/2014/main" id="{53C62C78-A9A4-413E-8F52-5FCAA5FDBCC0}"/>
                </a:ext>
              </a:extLst>
            </xdr:cNvPr>
            <xdr:cNvGraphicFramePr/>
          </xdr:nvGraphicFramePr>
          <xdr:xfrm>
            <a:off x="0" y="0"/>
            <a:ext cx="0" cy="0"/>
          </xdr:xfrm>
          <a:graphic>
            <a:graphicData uri="http://schemas.microsoft.com/office/drawing/2010/slicer">
              <sle:slicer xmlns:sle="http://schemas.microsoft.com/office/drawing/2010/slicer" name="Assigned_Team 1"/>
            </a:graphicData>
          </a:graphic>
        </xdr:graphicFrame>
      </mc:Choice>
      <mc:Fallback>
        <xdr:sp macro="" textlink="">
          <xdr:nvSpPr>
            <xdr:cNvPr id="0" name=""/>
            <xdr:cNvSpPr>
              <a:spLocks noTextEdit="1"/>
            </xdr:cNvSpPr>
          </xdr:nvSpPr>
          <xdr:spPr>
            <a:xfrm>
              <a:off x="9440284" y="6008145"/>
              <a:ext cx="1537596" cy="1373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228600</xdr:colOff>
      <xdr:row>38</xdr:row>
      <xdr:rowOff>106681</xdr:rowOff>
    </xdr:from>
    <xdr:to>
      <xdr:col>12</xdr:col>
      <xdr:colOff>160020</xdr:colOff>
      <xdr:row>43</xdr:row>
      <xdr:rowOff>129540</xdr:rowOff>
    </xdr:to>
    <mc:AlternateContent xmlns:mc="http://schemas.openxmlformats.org/markup-compatibility/2006">
      <mc:Choice xmlns:a14="http://schemas.microsoft.com/office/drawing/2010/main" Requires="a14">
        <xdr:graphicFrame macro="">
          <xdr:nvGraphicFramePr>
            <xdr:cNvPr id="13" name="SLA_Status 1">
              <a:extLst>
                <a:ext uri="{FF2B5EF4-FFF2-40B4-BE49-F238E27FC236}">
                  <a16:creationId xmlns:a16="http://schemas.microsoft.com/office/drawing/2014/main" id="{AAD37730-5DAB-4EA7-B24A-AD25D88E4090}"/>
                </a:ext>
              </a:extLst>
            </xdr:cNvPr>
            <xdr:cNvGraphicFramePr/>
          </xdr:nvGraphicFramePr>
          <xdr:xfrm>
            <a:off x="0" y="0"/>
            <a:ext cx="0" cy="0"/>
          </xdr:xfrm>
          <a:graphic>
            <a:graphicData uri="http://schemas.microsoft.com/office/drawing/2010/slicer">
              <sle:slicer xmlns:sle="http://schemas.microsoft.com/office/drawing/2010/slicer" name="SLA_Status 1"/>
            </a:graphicData>
          </a:graphic>
        </xdr:graphicFrame>
      </mc:Choice>
      <mc:Fallback>
        <xdr:sp macro="" textlink="">
          <xdr:nvSpPr>
            <xdr:cNvPr id="0" name=""/>
            <xdr:cNvSpPr>
              <a:spLocks noTextEdit="1"/>
            </xdr:cNvSpPr>
          </xdr:nvSpPr>
          <xdr:spPr>
            <a:xfrm>
              <a:off x="5741894" y="6919857"/>
              <a:ext cx="1769185" cy="919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 YADAV" refreshedDate="46213.157540624998" createdVersion="8" refreshedVersion="8" minRefreshableVersion="3" recordCount="60" xr:uid="{DEB9DC40-43FB-4AC4-BD4A-C2F998F4B2B9}">
  <cacheSource type="worksheet">
    <worksheetSource name="incidents"/>
  </cacheSource>
  <cacheFields count="17">
    <cacheField name="Incident_ID" numFmtId="0">
      <sharedItems count="60">
        <s v="INC-1001"/>
        <s v="INC-1002"/>
        <s v="INC-1003"/>
        <s v="INC-1004"/>
        <s v="INC-1005"/>
        <s v="INC-1006"/>
        <s v="INC-1007"/>
        <s v="INC-1008"/>
        <s v="INC-1009"/>
        <s v="INC-1010"/>
        <s v="INC-1011"/>
        <s v="INC-1012"/>
        <s v="INC-1013"/>
        <s v="INC-1014"/>
        <s v="INC-1015"/>
        <s v="INC-1016"/>
        <s v="INC-1017"/>
        <s v="INC-1018"/>
        <s v="INC-1019"/>
        <s v="INC-1020"/>
        <s v="INC-1021"/>
        <s v="INC-1022"/>
        <s v="INC-1023"/>
        <s v="INC-1024"/>
        <s v="INC-1025"/>
        <s v="INC-1026"/>
        <s v="INC-1027"/>
        <s v="INC-1028"/>
        <s v="INC-1029"/>
        <s v="INC-1030"/>
        <s v="INC-1031"/>
        <s v="INC-1032"/>
        <s v="INC-1033"/>
        <s v="INC-1034"/>
        <s v="INC-1035"/>
        <s v="INC-1036"/>
        <s v="INC-1037"/>
        <s v="INC-1038"/>
        <s v="INC-1039"/>
        <s v="INC-1040"/>
        <s v="INC-1041"/>
        <s v="INC-1042"/>
        <s v="INC-1043"/>
        <s v="INC-1044"/>
        <s v="INC-1045"/>
        <s v="INC-1046"/>
        <s v="INC-1047"/>
        <s v="INC-1048"/>
        <s v="INC-1049"/>
        <s v="INC-1050"/>
        <s v="INC-1051"/>
        <s v="INC-1052"/>
        <s v="INC-1053"/>
        <s v="INC-1054"/>
        <s v="INC-1055"/>
        <s v="INC-1056"/>
        <s v="INC-1057"/>
        <s v="INC-1058"/>
        <s v="INC-1059"/>
        <s v="INC-1060"/>
      </sharedItems>
    </cacheField>
    <cacheField name="Opened_Date" numFmtId="14">
      <sharedItems containsSemiMixedTypes="0" containsNonDate="0" containsDate="1" containsString="0" minDate="2026-06-01T00:00:00" maxDate="2026-07-01T00:00:00" count="3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cacheField>
    <cacheField name="Resolved_Date" numFmtId="14">
      <sharedItems containsSemiMixedTypes="0" containsNonDate="0" containsDate="1" containsString="0" minDate="2026-06-01T00:00:00" maxDate="2026-07-02T00:00:00"/>
    </cacheField>
    <cacheField name="Application" numFmtId="0">
      <sharedItems count="5">
        <s v="Employee Portal"/>
        <s v="Payment Gateway"/>
        <s v="HRMS"/>
        <s v="Customer Portal"/>
        <s v="CRM"/>
      </sharedItems>
    </cacheField>
    <cacheField name="Category" numFmtId="0">
      <sharedItems count="6">
        <s v="Login"/>
        <s v="API"/>
        <s v="Access"/>
        <s v="Performance"/>
        <s v="Network"/>
        <s v="Database"/>
      </sharedItems>
    </cacheField>
    <cacheField name="Priority" numFmtId="0">
      <sharedItems count="4">
        <s v="P2"/>
        <s v="P1"/>
        <s v="P3"/>
        <s v="P4"/>
      </sharedItems>
    </cacheField>
    <cacheField name="Status" numFmtId="0">
      <sharedItems count="2">
        <s v="Resolved"/>
        <s v="Closed"/>
      </sharedItems>
    </cacheField>
    <cacheField name="Assigned_Team" numFmtId="0">
      <sharedItems count="4">
        <s v="L1 Support"/>
        <s v="Application Team"/>
        <s v="Network Team"/>
        <s v="Database Team"/>
      </sharedItems>
    </cacheField>
    <cacheField name="Root_Cause" numFmtId="0">
      <sharedItems count="14">
        <s v="Password Expired"/>
        <s v="API Timeout"/>
        <s v="Missing User Role"/>
        <s v="Server Overload"/>
        <s v="DNS Failure"/>
        <s v="DB Lock"/>
        <s v="DB Connection Failure"/>
        <s v="Memory Leak"/>
        <s v="Approval Delay"/>
        <s v="Firewall Block"/>
        <s v="Account Locked"/>
        <s v="High CPU Usage"/>
        <s v="Slow Query"/>
        <s v="Load Balancer Failure"/>
      </sharedItems>
    </cacheField>
    <cacheField name="Resolution_Time_Hours" numFmtId="0">
      <sharedItems containsSemiMixedTypes="0" containsString="0" containsNumber="1" containsInteger="1" minValue="1" maxValue="10"/>
    </cacheField>
    <cacheField name="SLA_Target_Hours" numFmtId="0">
      <sharedItems containsSemiMixedTypes="0" containsString="0" containsNumber="1" containsInteger="1" minValue="4" maxValue="24"/>
    </cacheField>
    <cacheField name="SLA_Status" numFmtId="0">
      <sharedItems count="2">
        <s v="Met"/>
        <s v="Breached"/>
      </sharedItems>
    </cacheField>
    <cacheField name="Users_Affected" numFmtId="0">
      <sharedItems containsSemiMixedTypes="0" containsString="0" containsNumber="1" containsInteger="1" minValue="1" maxValue="780"/>
    </cacheField>
    <cacheField name="Resolution_Notes" numFmtId="0">
      <sharedItems/>
    </cacheField>
    <cacheField name="Month" numFmtId="0">
      <sharedItems/>
    </cacheField>
    <cacheField name="SLA_diff_hours" numFmtId="0">
      <sharedItems containsSemiMixedTypes="0" containsString="0" containsNumber="1" containsInteger="1" minValue="-23" maxValue="4"/>
    </cacheField>
    <cacheField name="support_level" numFmtId="0">
      <sharedItems/>
    </cacheField>
  </cacheFields>
  <extLst>
    <ext xmlns:x14="http://schemas.microsoft.com/office/spreadsheetml/2009/9/main" uri="{725AE2AE-9491-48be-B2B4-4EB974FC3084}">
      <x14:pivotCacheDefinition pivotCacheId="856528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d v="2026-06-01T00:00:00"/>
    <x v="0"/>
    <x v="0"/>
    <x v="0"/>
    <x v="0"/>
    <x v="0"/>
    <x v="0"/>
    <n v="2"/>
    <n v="4"/>
    <x v="0"/>
    <n v="18"/>
    <s v="Password reset and account unlocked"/>
    <s v="Jun 2026"/>
    <n v="-2"/>
    <s v="L2/L3"/>
  </r>
  <r>
    <x v="1"/>
    <x v="0"/>
    <d v="2026-06-02T00:00:00"/>
    <x v="1"/>
    <x v="1"/>
    <x v="1"/>
    <x v="0"/>
    <x v="1"/>
    <x v="1"/>
    <n v="7"/>
    <n v="4"/>
    <x v="1"/>
    <n v="450"/>
    <s v="API service restarted after validation"/>
    <s v="Jun 2026"/>
    <n v="3"/>
    <s v="L1"/>
  </r>
  <r>
    <x v="2"/>
    <x v="1"/>
    <d v="2026-06-02T00:00:00"/>
    <x v="2"/>
    <x v="2"/>
    <x v="2"/>
    <x v="1"/>
    <x v="0"/>
    <x v="2"/>
    <n v="5"/>
    <n v="8"/>
    <x v="0"/>
    <n v="1"/>
    <s v="Access granted after approval"/>
    <s v="Jun 2026"/>
    <n v="-3"/>
    <s v="L2/L3"/>
  </r>
  <r>
    <x v="3"/>
    <x v="1"/>
    <d v="2026-06-03T00:00:00"/>
    <x v="3"/>
    <x v="3"/>
    <x v="0"/>
    <x v="0"/>
    <x v="1"/>
    <x v="3"/>
    <n v="9"/>
    <n v="8"/>
    <x v="1"/>
    <n v="120"/>
    <s v="Service capacity issue escalated"/>
    <s v="Jun 2026"/>
    <n v="1"/>
    <s v="L1"/>
  </r>
  <r>
    <x v="4"/>
    <x v="2"/>
    <d v="2026-06-03T00:00:00"/>
    <x v="0"/>
    <x v="4"/>
    <x v="2"/>
    <x v="0"/>
    <x v="2"/>
    <x v="4"/>
    <n v="3"/>
    <n v="8"/>
    <x v="0"/>
    <n v="35"/>
    <s v="DNS cache and routing issue fixed"/>
    <s v="Jun 2026"/>
    <n v="-5"/>
    <s v="L2/L3"/>
  </r>
  <r>
    <x v="5"/>
    <x v="2"/>
    <d v="2026-06-04T00:00:00"/>
    <x v="4"/>
    <x v="5"/>
    <x v="1"/>
    <x v="0"/>
    <x v="3"/>
    <x v="5"/>
    <n v="6"/>
    <n v="4"/>
    <x v="1"/>
    <n v="280"/>
    <s v="Blocking query identified and resolved"/>
    <s v="Jun 2026"/>
    <n v="2"/>
    <s v="L2/L3"/>
  </r>
  <r>
    <x v="6"/>
    <x v="3"/>
    <d v="2026-06-04T00:00:00"/>
    <x v="2"/>
    <x v="0"/>
    <x v="3"/>
    <x v="1"/>
    <x v="0"/>
    <x v="0"/>
    <n v="1"/>
    <n v="24"/>
    <x v="0"/>
    <n v="1"/>
    <s v="Password reset completed"/>
    <s v="Jun 2026"/>
    <n v="-23"/>
    <s v="L2/L3"/>
  </r>
  <r>
    <x v="7"/>
    <x v="3"/>
    <d v="2026-06-05T00:00:00"/>
    <x v="3"/>
    <x v="1"/>
    <x v="0"/>
    <x v="0"/>
    <x v="1"/>
    <x v="1"/>
    <n v="6"/>
    <n v="8"/>
    <x v="0"/>
    <n v="95"/>
    <s v="API configuration corrected"/>
    <s v="Jun 2026"/>
    <n v="-2"/>
    <s v="L1"/>
  </r>
  <r>
    <x v="8"/>
    <x v="4"/>
    <d v="2026-06-05T00:00:00"/>
    <x v="1"/>
    <x v="3"/>
    <x v="1"/>
    <x v="0"/>
    <x v="1"/>
    <x v="3"/>
    <n v="3"/>
    <n v="4"/>
    <x v="0"/>
    <n v="600"/>
    <s v="High CPU process restarted as per runbook"/>
    <s v="Jun 2026"/>
    <n v="-1"/>
    <s v="L2/L3"/>
  </r>
  <r>
    <x v="9"/>
    <x v="4"/>
    <d v="2026-06-06T00:00:00"/>
    <x v="4"/>
    <x v="2"/>
    <x v="2"/>
    <x v="1"/>
    <x v="0"/>
    <x v="2"/>
    <n v="7"/>
    <n v="8"/>
    <x v="0"/>
    <n v="2"/>
    <s v="Role assigned after manager approval"/>
    <s v="Jun 2026"/>
    <n v="-1"/>
    <s v="L2/L3"/>
  </r>
  <r>
    <x v="10"/>
    <x v="5"/>
    <d v="2026-06-07T00:00:00"/>
    <x v="0"/>
    <x v="4"/>
    <x v="0"/>
    <x v="0"/>
    <x v="2"/>
    <x v="4"/>
    <n v="10"/>
    <n v="8"/>
    <x v="1"/>
    <n v="75"/>
    <s v="DNS server issue escalated and resolved"/>
    <s v="Jun 2026"/>
    <n v="2"/>
    <s v="L1"/>
  </r>
  <r>
    <x v="11"/>
    <x v="5"/>
    <d v="2026-06-06T00:00:00"/>
    <x v="2"/>
    <x v="5"/>
    <x v="2"/>
    <x v="0"/>
    <x v="3"/>
    <x v="5"/>
    <n v="4"/>
    <n v="8"/>
    <x v="0"/>
    <n v="20"/>
    <s v="Long-running query optimized"/>
    <s v="Jun 2026"/>
    <n v="-4"/>
    <s v="L2/L3"/>
  </r>
  <r>
    <x v="12"/>
    <x v="6"/>
    <d v="2026-06-07T00:00:00"/>
    <x v="3"/>
    <x v="0"/>
    <x v="2"/>
    <x v="0"/>
    <x v="0"/>
    <x v="0"/>
    <n v="3"/>
    <n v="8"/>
    <x v="0"/>
    <n v="12"/>
    <s v="User credentials reset successfully"/>
    <s v="Jun 2026"/>
    <n v="-5"/>
    <s v="L2/L3"/>
  </r>
  <r>
    <x v="13"/>
    <x v="6"/>
    <d v="2026-06-08T00:00:00"/>
    <x v="1"/>
    <x v="5"/>
    <x v="1"/>
    <x v="0"/>
    <x v="3"/>
    <x v="6"/>
    <n v="8"/>
    <n v="4"/>
    <x v="1"/>
    <n v="520"/>
    <s v="Database connection pool restarted"/>
    <s v="Jun 2026"/>
    <n v="4"/>
    <s v="L1"/>
  </r>
  <r>
    <x v="14"/>
    <x v="7"/>
    <d v="2026-06-08T00:00:00"/>
    <x v="4"/>
    <x v="3"/>
    <x v="0"/>
    <x v="0"/>
    <x v="1"/>
    <x v="7"/>
    <n v="6"/>
    <n v="8"/>
    <x v="0"/>
    <n v="150"/>
    <s v="Application service restarted"/>
    <s v="Jun 2026"/>
    <n v="-2"/>
    <s v="L2/L3"/>
  </r>
  <r>
    <x v="15"/>
    <x v="7"/>
    <d v="2026-06-09T00:00:00"/>
    <x v="2"/>
    <x v="2"/>
    <x v="0"/>
    <x v="0"/>
    <x v="0"/>
    <x v="8"/>
    <n v="10"/>
    <n v="8"/>
    <x v="1"/>
    <n v="8"/>
    <s v="Access approved after escalation"/>
    <s v="Jun 2026"/>
    <n v="2"/>
    <s v="L2/L3"/>
  </r>
  <r>
    <x v="16"/>
    <x v="8"/>
    <d v="2026-06-09T00:00:00"/>
    <x v="0"/>
    <x v="1"/>
    <x v="2"/>
    <x v="1"/>
    <x v="1"/>
    <x v="1"/>
    <n v="5"/>
    <n v="8"/>
    <x v="0"/>
    <n v="40"/>
    <s v="API endpoint response improved"/>
    <s v="Jun 2026"/>
    <n v="-3"/>
    <s v="L1"/>
  </r>
  <r>
    <x v="17"/>
    <x v="8"/>
    <d v="2026-06-10T00:00:00"/>
    <x v="3"/>
    <x v="4"/>
    <x v="1"/>
    <x v="0"/>
    <x v="2"/>
    <x v="9"/>
    <n v="7"/>
    <n v="4"/>
    <x v="1"/>
    <n v="310"/>
    <s v="Firewall rule updated after review"/>
    <s v="Jun 2026"/>
    <n v="3"/>
    <s v="L2/L3"/>
  </r>
  <r>
    <x v="18"/>
    <x v="9"/>
    <d v="2026-06-10T00:00:00"/>
    <x v="1"/>
    <x v="0"/>
    <x v="0"/>
    <x v="0"/>
    <x v="0"/>
    <x v="10"/>
    <n v="2"/>
    <n v="4"/>
    <x v="0"/>
    <n v="65"/>
    <s v="Locked accounts unlocked in bulk"/>
    <s v="Jun 2026"/>
    <n v="-2"/>
    <s v="L2/L3"/>
  </r>
  <r>
    <x v="19"/>
    <x v="9"/>
    <d v="2026-06-11T00:00:00"/>
    <x v="4"/>
    <x v="5"/>
    <x v="0"/>
    <x v="0"/>
    <x v="3"/>
    <x v="5"/>
    <n v="9"/>
    <n v="8"/>
    <x v="1"/>
    <n v="175"/>
    <s v="Deadlock removed and query tuned"/>
    <s v="Jun 2026"/>
    <n v="1"/>
    <s v="L1"/>
  </r>
  <r>
    <x v="20"/>
    <x v="10"/>
    <d v="2026-06-11T00:00:00"/>
    <x v="2"/>
    <x v="3"/>
    <x v="2"/>
    <x v="0"/>
    <x v="1"/>
    <x v="11"/>
    <n v="4"/>
    <n v="8"/>
    <x v="0"/>
    <n v="30"/>
    <s v="Background job rescheduled"/>
    <s v="Jun 2026"/>
    <n v="-4"/>
    <s v="L2/L3"/>
  </r>
  <r>
    <x v="21"/>
    <x v="10"/>
    <d v="2026-06-12T00:00:00"/>
    <x v="0"/>
    <x v="4"/>
    <x v="0"/>
    <x v="0"/>
    <x v="2"/>
    <x v="4"/>
    <n v="9"/>
    <n v="8"/>
    <x v="1"/>
    <n v="90"/>
    <s v="DNS configuration corrected"/>
    <s v="Jun 2026"/>
    <n v="1"/>
    <s v="L2/L3"/>
  </r>
  <r>
    <x v="22"/>
    <x v="11"/>
    <d v="2026-06-12T00:00:00"/>
    <x v="3"/>
    <x v="2"/>
    <x v="3"/>
    <x v="1"/>
    <x v="0"/>
    <x v="2"/>
    <n v="2"/>
    <n v="24"/>
    <x v="0"/>
    <n v="3"/>
    <s v="Required role assigned"/>
    <s v="Jun 2026"/>
    <n v="-22"/>
    <s v="L2/L3"/>
  </r>
  <r>
    <x v="23"/>
    <x v="11"/>
    <d v="2026-06-13T00:00:00"/>
    <x v="1"/>
    <x v="1"/>
    <x v="1"/>
    <x v="0"/>
    <x v="1"/>
    <x v="1"/>
    <n v="6"/>
    <n v="4"/>
    <x v="1"/>
    <n v="780"/>
    <s v="Payment API service restarted"/>
    <s v="Jun 2026"/>
    <n v="2"/>
    <s v="L1"/>
  </r>
  <r>
    <x v="24"/>
    <x v="12"/>
    <d v="2026-06-13T00:00:00"/>
    <x v="4"/>
    <x v="0"/>
    <x v="2"/>
    <x v="0"/>
    <x v="0"/>
    <x v="0"/>
    <n v="4"/>
    <n v="8"/>
    <x v="0"/>
    <n v="10"/>
    <s v="Password reset completed"/>
    <s v="Jun 2026"/>
    <n v="-4"/>
    <s v="L2/L3"/>
  </r>
  <r>
    <x v="25"/>
    <x v="12"/>
    <d v="2026-06-14T00:00:00"/>
    <x v="2"/>
    <x v="5"/>
    <x v="0"/>
    <x v="0"/>
    <x v="3"/>
    <x v="12"/>
    <n v="9"/>
    <n v="8"/>
    <x v="1"/>
    <n v="55"/>
    <s v="Query index added and validated"/>
    <s v="Jun 2026"/>
    <n v="1"/>
    <s v="L1"/>
  </r>
  <r>
    <x v="26"/>
    <x v="13"/>
    <d v="2026-06-14T00:00:00"/>
    <x v="0"/>
    <x v="3"/>
    <x v="2"/>
    <x v="0"/>
    <x v="1"/>
    <x v="7"/>
    <n v="5"/>
    <n v="8"/>
    <x v="0"/>
    <n v="70"/>
    <s v="Service restarted and monitored"/>
    <s v="Jun 2026"/>
    <n v="-3"/>
    <s v="L2/L3"/>
  </r>
  <r>
    <x v="27"/>
    <x v="13"/>
    <d v="2026-06-15T00:00:00"/>
    <x v="3"/>
    <x v="4"/>
    <x v="1"/>
    <x v="0"/>
    <x v="2"/>
    <x v="13"/>
    <n v="8"/>
    <n v="4"/>
    <x v="1"/>
    <n v="400"/>
    <s v="Load balancer node replaced"/>
    <s v="Jun 2026"/>
    <n v="4"/>
    <s v="L2/L3"/>
  </r>
  <r>
    <x v="28"/>
    <x v="14"/>
    <d v="2026-06-15T00:00:00"/>
    <x v="1"/>
    <x v="2"/>
    <x v="0"/>
    <x v="0"/>
    <x v="0"/>
    <x v="2"/>
    <n v="3"/>
    <n v="4"/>
    <x v="0"/>
    <n v="15"/>
    <s v="Merchant access role updated"/>
    <s v="Jun 2026"/>
    <n v="-1"/>
    <s v="L2/L3"/>
  </r>
  <r>
    <x v="29"/>
    <x v="14"/>
    <d v="2026-06-16T00:00:00"/>
    <x v="4"/>
    <x v="1"/>
    <x v="0"/>
    <x v="0"/>
    <x v="1"/>
    <x v="1"/>
    <n v="10"/>
    <n v="8"/>
    <x v="1"/>
    <n v="210"/>
    <s v="API gateway settings corrected"/>
    <s v="Jun 2026"/>
    <n v="2"/>
    <s v="L1"/>
  </r>
  <r>
    <x v="30"/>
    <x v="15"/>
    <d v="2026-06-16T00:00:00"/>
    <x v="2"/>
    <x v="0"/>
    <x v="3"/>
    <x v="1"/>
    <x v="0"/>
    <x v="10"/>
    <n v="2"/>
    <n v="24"/>
    <x v="0"/>
    <n v="1"/>
    <s v="Account unlocked after verification"/>
    <s v="Jun 2026"/>
    <n v="-22"/>
    <s v="L2/L3"/>
  </r>
  <r>
    <x v="31"/>
    <x v="15"/>
    <d v="2026-06-17T00:00:00"/>
    <x v="0"/>
    <x v="5"/>
    <x v="1"/>
    <x v="0"/>
    <x v="3"/>
    <x v="6"/>
    <n v="7"/>
    <n v="4"/>
    <x v="1"/>
    <n v="230"/>
    <s v="Database service restored"/>
    <s v="Jun 2026"/>
    <n v="3"/>
    <s v="L1"/>
  </r>
  <r>
    <x v="32"/>
    <x v="16"/>
    <d v="2026-06-17T00:00:00"/>
    <x v="3"/>
    <x v="3"/>
    <x v="0"/>
    <x v="0"/>
    <x v="1"/>
    <x v="3"/>
    <n v="7"/>
    <n v="8"/>
    <x v="0"/>
    <n v="180"/>
    <s v="Additional server instance enabled"/>
    <s v="Jun 2026"/>
    <n v="-1"/>
    <s v="L2/L3"/>
  </r>
  <r>
    <x v="33"/>
    <x v="16"/>
    <d v="2026-06-18T00:00:00"/>
    <x v="1"/>
    <x v="4"/>
    <x v="0"/>
    <x v="0"/>
    <x v="2"/>
    <x v="9"/>
    <n v="9"/>
    <n v="8"/>
    <x v="1"/>
    <n v="260"/>
    <s v="Network policy updated"/>
    <s v="Jun 2026"/>
    <n v="1"/>
    <s v="L2/L3"/>
  </r>
  <r>
    <x v="34"/>
    <x v="17"/>
    <d v="2026-06-18T00:00:00"/>
    <x v="4"/>
    <x v="2"/>
    <x v="2"/>
    <x v="1"/>
    <x v="0"/>
    <x v="8"/>
    <n v="6"/>
    <n v="8"/>
    <x v="0"/>
    <n v="4"/>
    <s v="Approval received and role assigned"/>
    <s v="Jun 2026"/>
    <n v="-2"/>
    <s v="L2/L3"/>
  </r>
  <r>
    <x v="35"/>
    <x v="17"/>
    <d v="2026-06-19T00:00:00"/>
    <x v="2"/>
    <x v="1"/>
    <x v="1"/>
    <x v="0"/>
    <x v="1"/>
    <x v="1"/>
    <n v="5"/>
    <n v="4"/>
    <x v="1"/>
    <n v="330"/>
    <s v="API service restarted after log review"/>
    <s v="Jun 2026"/>
    <n v="1"/>
    <s v="L1"/>
  </r>
  <r>
    <x v="36"/>
    <x v="18"/>
    <d v="2026-06-19T00:00:00"/>
    <x v="0"/>
    <x v="0"/>
    <x v="0"/>
    <x v="0"/>
    <x v="0"/>
    <x v="0"/>
    <n v="3"/>
    <n v="4"/>
    <x v="0"/>
    <n v="45"/>
    <s v="Password reset through self service"/>
    <s v="Jun 2026"/>
    <n v="-1"/>
    <s v="L2/L3"/>
  </r>
  <r>
    <x v="37"/>
    <x v="18"/>
    <d v="2026-06-20T00:00:00"/>
    <x v="3"/>
    <x v="5"/>
    <x v="0"/>
    <x v="0"/>
    <x v="3"/>
    <x v="5"/>
    <n v="9"/>
    <n v="8"/>
    <x v="1"/>
    <n v="110"/>
    <s v="Blocking transaction rolled back"/>
    <s v="Jun 2026"/>
    <n v="1"/>
    <s v="L1"/>
  </r>
  <r>
    <x v="38"/>
    <x v="19"/>
    <d v="2026-06-20T00:00:00"/>
    <x v="1"/>
    <x v="3"/>
    <x v="2"/>
    <x v="0"/>
    <x v="1"/>
    <x v="11"/>
    <n v="6"/>
    <n v="8"/>
    <x v="0"/>
    <n v="220"/>
    <s v="Unnecessary batch job stopped"/>
    <s v="Jun 2026"/>
    <n v="-2"/>
    <s v="L2/L3"/>
  </r>
  <r>
    <x v="39"/>
    <x v="19"/>
    <d v="2026-06-21T00:00:00"/>
    <x v="4"/>
    <x v="4"/>
    <x v="1"/>
    <x v="0"/>
    <x v="2"/>
    <x v="4"/>
    <n v="8"/>
    <n v="4"/>
    <x v="1"/>
    <n v="350"/>
    <s v="DNS failover activated"/>
    <s v="Jun 2026"/>
    <n v="4"/>
    <s v="L2/L3"/>
  </r>
  <r>
    <x v="40"/>
    <x v="20"/>
    <d v="2026-06-21T00:00:00"/>
    <x v="2"/>
    <x v="2"/>
    <x v="2"/>
    <x v="1"/>
    <x v="0"/>
    <x v="2"/>
    <n v="4"/>
    <n v="8"/>
    <x v="0"/>
    <n v="2"/>
    <s v="Role assigned after approval"/>
    <s v="Jun 2026"/>
    <n v="-4"/>
    <s v="L2/L3"/>
  </r>
  <r>
    <x v="41"/>
    <x v="20"/>
    <d v="2026-06-22T00:00:00"/>
    <x v="0"/>
    <x v="1"/>
    <x v="0"/>
    <x v="0"/>
    <x v="1"/>
    <x v="1"/>
    <n v="7"/>
    <n v="8"/>
    <x v="0"/>
    <n v="85"/>
    <s v="Endpoint timeout limit increased"/>
    <s v="Jun 2026"/>
    <n v="-1"/>
    <s v="L1"/>
  </r>
  <r>
    <x v="42"/>
    <x v="21"/>
    <d v="2026-06-22T00:00:00"/>
    <x v="3"/>
    <x v="0"/>
    <x v="3"/>
    <x v="1"/>
    <x v="0"/>
    <x v="10"/>
    <n v="1"/>
    <n v="24"/>
    <x v="0"/>
    <n v="1"/>
    <s v="Account unlocked successfully"/>
    <s v="Jun 2026"/>
    <n v="-23"/>
    <s v="L2/L3"/>
  </r>
  <r>
    <x v="43"/>
    <x v="21"/>
    <d v="2026-06-23T00:00:00"/>
    <x v="1"/>
    <x v="5"/>
    <x v="1"/>
    <x v="0"/>
    <x v="3"/>
    <x v="12"/>
    <n v="6"/>
    <n v="4"/>
    <x v="1"/>
    <n v="670"/>
    <s v="Database index rebuilt"/>
    <s v="Jun 2026"/>
    <n v="2"/>
    <s v="L1"/>
  </r>
  <r>
    <x v="44"/>
    <x v="22"/>
    <d v="2026-06-23T00:00:00"/>
    <x v="4"/>
    <x v="3"/>
    <x v="0"/>
    <x v="0"/>
    <x v="1"/>
    <x v="7"/>
    <n v="5"/>
    <n v="8"/>
    <x v="0"/>
    <n v="145"/>
    <s v="Service restarted after memory analysis"/>
    <s v="Jun 2026"/>
    <n v="-3"/>
    <s v="L2/L3"/>
  </r>
  <r>
    <x v="45"/>
    <x v="22"/>
    <d v="2026-06-24T00:00:00"/>
    <x v="2"/>
    <x v="4"/>
    <x v="0"/>
    <x v="0"/>
    <x v="2"/>
    <x v="9"/>
    <n v="9"/>
    <n v="8"/>
    <x v="1"/>
    <n v="60"/>
    <s v="Firewall port opened after approval"/>
    <s v="Jun 2026"/>
    <n v="1"/>
    <s v="L2/L3"/>
  </r>
  <r>
    <x v="46"/>
    <x v="23"/>
    <d v="2026-06-24T00:00:00"/>
    <x v="0"/>
    <x v="2"/>
    <x v="2"/>
    <x v="1"/>
    <x v="0"/>
    <x v="8"/>
    <n v="5"/>
    <n v="8"/>
    <x v="0"/>
    <n v="6"/>
    <s v="Access granted after manager confirmation"/>
    <s v="Jun 2026"/>
    <n v="-3"/>
    <s v="L2/L3"/>
  </r>
  <r>
    <x v="47"/>
    <x v="23"/>
    <d v="2026-06-25T00:00:00"/>
    <x v="3"/>
    <x v="1"/>
    <x v="1"/>
    <x v="0"/>
    <x v="1"/>
    <x v="1"/>
    <n v="8"/>
    <n v="4"/>
    <x v="1"/>
    <n v="500"/>
    <s v="API deployment rolled back"/>
    <s v="Jun 2026"/>
    <n v="4"/>
    <s v="L1"/>
  </r>
  <r>
    <x v="48"/>
    <x v="24"/>
    <d v="2026-06-25T00:00:00"/>
    <x v="1"/>
    <x v="0"/>
    <x v="0"/>
    <x v="0"/>
    <x v="0"/>
    <x v="0"/>
    <n v="2"/>
    <n v="4"/>
    <x v="0"/>
    <n v="80"/>
    <s v="Passwords reset for impacted users"/>
    <s v="Jun 2026"/>
    <n v="-2"/>
    <s v="L2/L3"/>
  </r>
  <r>
    <x v="49"/>
    <x v="24"/>
    <d v="2026-06-26T00:00:00"/>
    <x v="4"/>
    <x v="5"/>
    <x v="0"/>
    <x v="0"/>
    <x v="3"/>
    <x v="5"/>
    <n v="10"/>
    <n v="8"/>
    <x v="1"/>
    <n v="190"/>
    <s v="Transaction issue resolved"/>
    <s v="Jun 2026"/>
    <n v="2"/>
    <s v="L1"/>
  </r>
  <r>
    <x v="50"/>
    <x v="25"/>
    <d v="2026-06-26T00:00:00"/>
    <x v="2"/>
    <x v="3"/>
    <x v="2"/>
    <x v="0"/>
    <x v="1"/>
    <x v="3"/>
    <n v="4"/>
    <n v="8"/>
    <x v="0"/>
    <n v="25"/>
    <s v="Application cache cleared"/>
    <s v="Jun 2026"/>
    <n v="-4"/>
    <s v="L2/L3"/>
  </r>
  <r>
    <x v="51"/>
    <x v="25"/>
    <d v="2026-06-27T00:00:00"/>
    <x v="0"/>
    <x v="4"/>
    <x v="0"/>
    <x v="0"/>
    <x v="2"/>
    <x v="4"/>
    <n v="9"/>
    <n v="8"/>
    <x v="1"/>
    <n v="100"/>
    <s v="DNS records corrected"/>
    <s v="Jun 2026"/>
    <n v="1"/>
    <s v="L2/L3"/>
  </r>
  <r>
    <x v="52"/>
    <x v="26"/>
    <d v="2026-06-27T00:00:00"/>
    <x v="3"/>
    <x v="2"/>
    <x v="3"/>
    <x v="1"/>
    <x v="0"/>
    <x v="2"/>
    <n v="2"/>
    <n v="24"/>
    <x v="0"/>
    <n v="2"/>
    <s v="Access role mapped successfully"/>
    <s v="Jun 2026"/>
    <n v="-22"/>
    <s v="L2/L3"/>
  </r>
  <r>
    <x v="53"/>
    <x v="26"/>
    <d v="2026-06-28T00:00:00"/>
    <x v="1"/>
    <x v="1"/>
    <x v="1"/>
    <x v="0"/>
    <x v="1"/>
    <x v="1"/>
    <n v="7"/>
    <n v="4"/>
    <x v="1"/>
    <n v="720"/>
    <s v="API cluster restarted"/>
    <s v="Jun 2026"/>
    <n v="3"/>
    <s v="L1"/>
  </r>
  <r>
    <x v="54"/>
    <x v="27"/>
    <d v="2026-06-28T00:00:00"/>
    <x v="4"/>
    <x v="0"/>
    <x v="2"/>
    <x v="0"/>
    <x v="0"/>
    <x v="10"/>
    <n v="3"/>
    <n v="8"/>
    <x v="0"/>
    <n v="9"/>
    <s v="Account unlocked after identity verification"/>
    <s v="Jun 2026"/>
    <n v="-5"/>
    <s v="L2/L3"/>
  </r>
  <r>
    <x v="55"/>
    <x v="27"/>
    <d v="2026-06-29T00:00:00"/>
    <x v="2"/>
    <x v="5"/>
    <x v="0"/>
    <x v="0"/>
    <x v="3"/>
    <x v="6"/>
    <n v="9"/>
    <n v="8"/>
    <x v="1"/>
    <n v="48"/>
    <s v="Database listener restarted"/>
    <s v="Jun 2026"/>
    <n v="1"/>
    <s v="L1"/>
  </r>
  <r>
    <x v="56"/>
    <x v="28"/>
    <d v="2026-06-29T00:00:00"/>
    <x v="0"/>
    <x v="3"/>
    <x v="2"/>
    <x v="0"/>
    <x v="1"/>
    <x v="11"/>
    <n v="5"/>
    <n v="8"/>
    <x v="0"/>
    <n v="55"/>
    <s v="Background service optimized"/>
    <s v="Jun 2026"/>
    <n v="-3"/>
    <s v="L2/L3"/>
  </r>
  <r>
    <x v="57"/>
    <x v="28"/>
    <d v="2026-06-30T00:00:00"/>
    <x v="3"/>
    <x v="4"/>
    <x v="1"/>
    <x v="0"/>
    <x v="2"/>
    <x v="13"/>
    <n v="6"/>
    <n v="4"/>
    <x v="1"/>
    <n v="390"/>
    <s v="Traffic routed to standby node"/>
    <s v="Jun 2026"/>
    <n v="2"/>
    <s v="L2/L3"/>
  </r>
  <r>
    <x v="58"/>
    <x v="29"/>
    <d v="2026-06-30T00:00:00"/>
    <x v="1"/>
    <x v="2"/>
    <x v="0"/>
    <x v="0"/>
    <x v="0"/>
    <x v="8"/>
    <n v="3"/>
    <n v="4"/>
    <x v="0"/>
    <n v="11"/>
    <s v="Access approved and enabled"/>
    <s v="Jun 2026"/>
    <n v="-1"/>
    <s v="L2/L3"/>
  </r>
  <r>
    <x v="59"/>
    <x v="29"/>
    <d v="2026-07-01T00:00:00"/>
    <x v="4"/>
    <x v="1"/>
    <x v="0"/>
    <x v="0"/>
    <x v="1"/>
    <x v="1"/>
    <n v="9"/>
    <n v="8"/>
    <x v="1"/>
    <n v="205"/>
    <s v="API configuration updated and tested"/>
    <s v="Jun 2026"/>
    <n v="1"/>
    <s v="L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4597AF-6C0A-4672-82F8-9F0DA569B5B5}"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39:I44" firstHeaderRow="1" firstDataRow="1" firstDataCol="1"/>
  <pivotFields count="17">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umFmtId="14" showAll="0"/>
    <pivotField showAll="0">
      <items count="6">
        <item h="1" x="4"/>
        <item h="1" x="3"/>
        <item x="0"/>
        <item h="1" x="2"/>
        <item h="1" x="1"/>
        <item t="default"/>
      </items>
    </pivotField>
    <pivotField showAll="0">
      <items count="7">
        <item x="2"/>
        <item x="1"/>
        <item x="5"/>
        <item x="0"/>
        <item x="4"/>
        <item x="3"/>
        <item t="default"/>
      </items>
    </pivotField>
    <pivotField showAll="0">
      <items count="5">
        <item x="1"/>
        <item x="0"/>
        <item x="2"/>
        <item x="3"/>
        <item t="default"/>
      </items>
    </pivotField>
    <pivotField showAll="0"/>
    <pivotField showAll="0">
      <items count="5">
        <item x="1"/>
        <item x="3"/>
        <item x="0"/>
        <item x="2"/>
        <item t="default"/>
      </items>
    </pivotField>
    <pivotField showAll="0"/>
    <pivotField showAll="0"/>
    <pivotField showAll="0"/>
    <pivotField showAll="0">
      <items count="3">
        <item x="1"/>
        <item h="1" x="0"/>
        <item t="default"/>
      </items>
    </pivotField>
    <pivotField showAll="0"/>
    <pivotField showAll="0"/>
    <pivotField showAll="0"/>
    <pivotField showAll="0"/>
    <pivotField showAll="0"/>
  </pivotFields>
  <rowFields count="1">
    <field x="1"/>
  </rowFields>
  <rowItems count="5">
    <i>
      <x v="5"/>
    </i>
    <i>
      <x v="10"/>
    </i>
    <i>
      <x v="15"/>
    </i>
    <i>
      <x v="25"/>
    </i>
    <i t="grand">
      <x/>
    </i>
  </rowItems>
  <colItems count="1">
    <i/>
  </colItems>
  <dataFields count="1">
    <dataField name="incident trend over time" fld="0" subtotal="count" baseField="1" baseItem="0"/>
  </dataFields>
  <chartFormats count="1">
    <chartFormat chart="2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E119C0-FC3B-420B-9400-E47575ED9236}"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29:E32" firstHeaderRow="1" firstDataRow="1" firstDataCol="1"/>
  <pivotFields count="17">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4" showAll="0"/>
    <pivotField numFmtId="14" showAll="0"/>
    <pivotField showAll="0">
      <items count="6">
        <item h="1" x="4"/>
        <item h="1" x="3"/>
        <item x="0"/>
        <item h="1" x="2"/>
        <item h="1" x="1"/>
        <item t="default"/>
      </items>
    </pivotField>
    <pivotField showAll="0">
      <items count="7">
        <item x="2"/>
        <item x="1"/>
        <item x="5"/>
        <item x="0"/>
        <item x="4"/>
        <item x="3"/>
        <item t="default"/>
      </items>
    </pivotField>
    <pivotField showAll="0">
      <items count="5">
        <item x="1"/>
        <item x="0"/>
        <item x="2"/>
        <item x="3"/>
        <item t="default"/>
      </items>
    </pivotField>
    <pivotField showAll="0"/>
    <pivotField showAll="0">
      <items count="5">
        <item x="1"/>
        <item x="3"/>
        <item x="0"/>
        <item x="2"/>
        <item t="default"/>
      </items>
    </pivotField>
    <pivotField axis="axisRow" showAll="0" sortType="ascending">
      <items count="15">
        <item x="10"/>
        <item x="1"/>
        <item x="8"/>
        <item x="6"/>
        <item x="5"/>
        <item x="4"/>
        <item x="9"/>
        <item x="11"/>
        <item x="13"/>
        <item x="7"/>
        <item x="2"/>
        <item x="0"/>
        <item x="3"/>
        <item x="12"/>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h="1" x="0"/>
        <item t="default"/>
      </items>
    </pivotField>
    <pivotField showAll="0"/>
    <pivotField showAll="0"/>
    <pivotField showAll="0"/>
    <pivotField showAll="0"/>
    <pivotField showAll="0"/>
  </pivotFields>
  <rowFields count="1">
    <field x="8"/>
  </rowFields>
  <rowItems count="3">
    <i>
      <x v="3"/>
    </i>
    <i>
      <x v="5"/>
    </i>
    <i t="grand">
      <x/>
    </i>
  </rowItems>
  <colItems count="1">
    <i/>
  </colItems>
  <dataFields count="1">
    <dataField name="top root causes" fld="0" subtotal="count" baseField="8" baseItem="0"/>
  </dataFields>
  <chartFormats count="1">
    <chartFormat chart="2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EB9159-340A-44A1-BC32-258841FE041A}"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1:H24" firstHeaderRow="1" firstDataRow="1" firstDataCol="1"/>
  <pivotFields count="17">
    <pivotField showAll="0"/>
    <pivotField numFmtId="14" showAll="0"/>
    <pivotField numFmtId="14" showAll="0"/>
    <pivotField showAll="0">
      <items count="6">
        <item h="1" x="4"/>
        <item h="1" x="3"/>
        <item x="0"/>
        <item h="1" x="2"/>
        <item h="1" x="1"/>
        <item t="default"/>
      </items>
    </pivotField>
    <pivotField axis="axisRow" showAll="0">
      <items count="7">
        <item x="2"/>
        <item x="1"/>
        <item x="5"/>
        <item x="0"/>
        <item x="4"/>
        <item x="3"/>
        <item t="default"/>
      </items>
    </pivotField>
    <pivotField showAll="0">
      <items count="5">
        <item x="1"/>
        <item x="0"/>
        <item x="2"/>
        <item x="3"/>
        <item t="default"/>
      </items>
    </pivotField>
    <pivotField showAll="0"/>
    <pivotField showAll="0">
      <items count="5">
        <item x="1"/>
        <item x="3"/>
        <item x="0"/>
        <item x="2"/>
        <item t="default"/>
      </items>
    </pivotField>
    <pivotField showAll="0"/>
    <pivotField dataField="1" showAll="0"/>
    <pivotField showAll="0"/>
    <pivotField showAll="0">
      <items count="3">
        <item x="1"/>
        <item h="1" x="0"/>
        <item t="default"/>
      </items>
    </pivotField>
    <pivotField showAll="0"/>
    <pivotField showAll="0"/>
    <pivotField showAll="0"/>
    <pivotField showAll="0"/>
    <pivotField showAll="0"/>
  </pivotFields>
  <rowFields count="1">
    <field x="4"/>
  </rowFields>
  <rowItems count="3">
    <i>
      <x v="2"/>
    </i>
    <i>
      <x v="4"/>
    </i>
    <i t="grand">
      <x/>
    </i>
  </rowItems>
  <colItems count="1">
    <i/>
  </colItems>
  <dataFields count="1">
    <dataField name="Average of Resolution_Time by category" fld="9" subtotal="average" baseField="4"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5AD01D-D73D-4065-A23D-5FB0A66C3E3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7:D19" firstHeaderRow="1" firstDataRow="1" firstDataCol="1" rowPageCount="1" colPageCount="1"/>
  <pivotFields count="17">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4" showAll="0"/>
    <pivotField numFmtId="14" showAll="0"/>
    <pivotField axis="axisRow" showAll="0">
      <items count="6">
        <item h="1" x="4"/>
        <item h="1" x="3"/>
        <item x="0"/>
        <item h="1" x="2"/>
        <item h="1" x="1"/>
        <item t="default"/>
      </items>
    </pivotField>
    <pivotField showAll="0">
      <items count="7">
        <item x="2"/>
        <item x="1"/>
        <item x="5"/>
        <item x="0"/>
        <item x="4"/>
        <item x="3"/>
        <item t="default"/>
      </items>
    </pivotField>
    <pivotField showAll="0">
      <items count="5">
        <item x="1"/>
        <item x="0"/>
        <item x="2"/>
        <item x="3"/>
        <item t="default"/>
      </items>
    </pivotField>
    <pivotField showAll="0">
      <items count="3">
        <item x="1"/>
        <item x="0"/>
        <item t="default"/>
      </items>
    </pivotField>
    <pivotField showAll="0">
      <items count="5">
        <item x="1"/>
        <item x="3"/>
        <item x="0"/>
        <item x="2"/>
        <item t="default"/>
      </items>
    </pivotField>
    <pivotField showAll="0"/>
    <pivotField showAll="0"/>
    <pivotField showAll="0"/>
    <pivotField axis="axisPage" showAll="0">
      <items count="3">
        <item x="1"/>
        <item x="0"/>
        <item t="default"/>
      </items>
    </pivotField>
    <pivotField showAll="0"/>
    <pivotField showAll="0"/>
    <pivotField showAll="0"/>
    <pivotField showAll="0"/>
    <pivotField showAll="0"/>
  </pivotFields>
  <rowFields count="1">
    <field x="3"/>
  </rowFields>
  <rowItems count="2">
    <i>
      <x v="2"/>
    </i>
    <i t="grand">
      <x/>
    </i>
  </rowItems>
  <colItems count="1">
    <i/>
  </colItems>
  <pageFields count="1">
    <pageField fld="11" item="0" hier="-1"/>
  </pageFields>
  <dataFields count="1">
    <dataField name="sla breaches by application" fld="0" subtotal="count" baseField="3"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73A2D7-6387-49EA-86F5-7A2150F6603B}"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8:H11" firstHeaderRow="1" firstDataRow="1" firstDataCol="1"/>
  <pivotFields count="17">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4" showAll="0"/>
    <pivotField numFmtId="14" showAll="0"/>
    <pivotField showAll="0">
      <items count="6">
        <item h="1" x="4"/>
        <item h="1" x="3"/>
        <item x="0"/>
        <item h="1" x="2"/>
        <item h="1" x="1"/>
        <item t="default"/>
      </items>
    </pivotField>
    <pivotField showAll="0">
      <items count="7">
        <item x="2"/>
        <item x="1"/>
        <item x="5"/>
        <item x="0"/>
        <item x="4"/>
        <item x="3"/>
        <item t="default"/>
      </items>
    </pivotField>
    <pivotField axis="axisRow" showAll="0">
      <items count="5">
        <item x="1"/>
        <item x="0"/>
        <item x="2"/>
        <item x="3"/>
        <item t="default"/>
      </items>
    </pivotField>
    <pivotField showAll="0"/>
    <pivotField showAll="0">
      <items count="5">
        <item x="1"/>
        <item x="3"/>
        <item x="0"/>
        <item x="2"/>
        <item t="default"/>
      </items>
    </pivotField>
    <pivotField showAll="0"/>
    <pivotField showAll="0"/>
    <pivotField showAll="0"/>
    <pivotField showAll="0">
      <items count="3">
        <item x="1"/>
        <item h="1" x="0"/>
        <item t="default"/>
      </items>
    </pivotField>
    <pivotField showAll="0"/>
    <pivotField showAll="0"/>
    <pivotField showAll="0"/>
    <pivotField showAll="0"/>
    <pivotField showAll="0"/>
  </pivotFields>
  <rowFields count="1">
    <field x="5"/>
  </rowFields>
  <rowItems count="3">
    <i>
      <x/>
    </i>
    <i>
      <x v="1"/>
    </i>
    <i t="grand">
      <x/>
    </i>
  </rowItems>
  <colItems count="1">
    <i/>
  </colItems>
  <dataFields count="1">
    <dataField name="incident distribution by priority" fld="0" subtotal="count" baseField="5" baseItem="0"/>
  </dataFields>
  <chartFormats count="5">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5"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2"/>
          </reference>
        </references>
      </pivotArea>
    </chartFormat>
    <chartFormat chart="6"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CA63D2-A6E4-4502-AA71-BA62D3FC3321}"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pivotFields count="17">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4" showAll="0"/>
    <pivotField numFmtId="14" showAll="0"/>
    <pivotField axis="axisRow" showAll="0">
      <items count="6">
        <item h="1" x="4"/>
        <item h="1" x="3"/>
        <item x="0"/>
        <item h="1" x="2"/>
        <item h="1" x="1"/>
        <item t="default"/>
      </items>
    </pivotField>
    <pivotField showAll="0">
      <items count="7">
        <item x="2"/>
        <item x="1"/>
        <item x="5"/>
        <item x="0"/>
        <item x="4"/>
        <item x="3"/>
        <item t="default"/>
      </items>
    </pivotField>
    <pivotField showAll="0">
      <items count="5">
        <item x="1"/>
        <item x="0"/>
        <item x="2"/>
        <item x="3"/>
        <item t="default"/>
      </items>
    </pivotField>
    <pivotField showAll="0"/>
    <pivotField showAll="0">
      <items count="5">
        <item x="1"/>
        <item x="3"/>
        <item x="0"/>
        <item x="2"/>
        <item t="default"/>
      </items>
    </pivotField>
    <pivotField showAll="0"/>
    <pivotField showAll="0"/>
    <pivotField showAll="0"/>
    <pivotField showAll="0">
      <items count="3">
        <item x="1"/>
        <item h="1" x="0"/>
        <item t="default"/>
      </items>
    </pivotField>
    <pivotField showAll="0"/>
    <pivotField showAll="0"/>
    <pivotField showAll="0"/>
    <pivotField showAll="0"/>
    <pivotField showAll="0"/>
  </pivotFields>
  <rowFields count="1">
    <field x="3"/>
  </rowFields>
  <rowItems count="2">
    <i>
      <x v="2"/>
    </i>
    <i t="grand">
      <x/>
    </i>
  </rowItems>
  <colItems count="1">
    <i/>
  </colItems>
  <dataFields count="1">
    <dataField name="incidents by application" fld="0" subtotal="count" baseField="3" baseItem="0"/>
  </dataField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 xr10:uid="{CCC7CFE1-964E-4E29-A159-60CAAA427C28}" sourceName="Application">
  <pivotTables>
    <pivotTable tabId="3" name="PivotTable3"/>
    <pivotTable tabId="3" name="PivotTable1"/>
    <pivotTable tabId="3" name="PivotTable2"/>
    <pivotTable tabId="3" name="PivotTable4"/>
    <pivotTable tabId="3" name="PivotTable5"/>
    <pivotTable tabId="3" name="PivotTable6"/>
  </pivotTables>
  <data>
    <tabular pivotCacheId="856528730">
      <items count="5">
        <i x="4"/>
        <i x="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6F19E9-5C0F-4020-998C-4ECAD7BA675F}" sourceName="Category">
  <pivotTables>
    <pivotTable tabId="3" name="PivotTable3"/>
    <pivotTable tabId="3" name="PivotTable1"/>
    <pivotTable tabId="3" name="PivotTable2"/>
    <pivotTable tabId="3" name="PivotTable4"/>
    <pivotTable tabId="3" name="PivotTable5"/>
    <pivotTable tabId="3" name="PivotTable6"/>
  </pivotTables>
  <data>
    <tabular pivotCacheId="856528730">
      <items count="6">
        <i x="5" s="1"/>
        <i x="4" s="1"/>
        <i x="2" s="1" nd="1"/>
        <i x="1" s="1" nd="1"/>
        <i x="0"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F841C079-E4FA-470C-AF53-FCC5167A55DE}" sourceName="Priority">
  <pivotTables>
    <pivotTable tabId="3" name="PivotTable3"/>
    <pivotTable tabId="3" name="PivotTable1"/>
    <pivotTable tabId="3" name="PivotTable2"/>
    <pivotTable tabId="3" name="PivotTable4"/>
    <pivotTable tabId="3" name="PivotTable5"/>
    <pivotTable tabId="3" name="PivotTable6"/>
  </pivotTables>
  <data>
    <tabular pivotCacheId="856528730">
      <items count="4">
        <i x="1" s="1"/>
        <i x="0" s="1"/>
        <i x="2"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eam" xr10:uid="{9E24CAFF-DF78-4D40-A4B1-928889B6DF71}" sourceName="Assigned_Team">
  <pivotTables>
    <pivotTable tabId="3" name="PivotTable3"/>
    <pivotTable tabId="3" name="PivotTable1"/>
    <pivotTable tabId="3" name="PivotTable2"/>
    <pivotTable tabId="3" name="PivotTable4"/>
    <pivotTable tabId="3" name="PivotTable5"/>
    <pivotTable tabId="3" name="PivotTable6"/>
  </pivotTables>
  <data>
    <tabular pivotCacheId="856528730">
      <items count="4">
        <i x="3" s="1"/>
        <i x="2" s="1"/>
        <i x="1" s="1" nd="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A_Status" xr10:uid="{EA62C911-A4BD-44E2-9EDA-CAD74547253B}" sourceName="SLA_Status">
  <pivotTables>
    <pivotTable tabId="3" name="PivotTable3"/>
    <pivotTable tabId="3" name="PivotTable1"/>
    <pivotTable tabId="3" name="PivotTable2"/>
    <pivotTable tabId="3" name="PivotTable4"/>
    <pivotTable tabId="3" name="PivotTable5"/>
    <pivotTable tabId="3" name="PivotTable6"/>
  </pivotTables>
  <data>
    <tabular pivotCacheId="856528730">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ication" xr10:uid="{4849FD09-33C5-4842-B3B1-D9D546922255}" cache="Slicer_Application" caption="Application" rowHeight="247650"/>
  <slicer name="Category" xr10:uid="{B65F0854-1645-48C2-A44D-1A38D5117D2A}" cache="Slicer_Category" caption="Category" rowHeight="247650"/>
  <slicer name="Priority" xr10:uid="{BF384E80-1194-492C-B4EE-61B7EDE91576}" cache="Slicer_Priority" caption="Priority" rowHeight="247650"/>
  <slicer name="Assigned_Team" xr10:uid="{EBE07D43-0BAE-44F4-955F-0CAFF16104A1}" cache="Slicer_Assigned_Team" caption="Assigned_Team" rowHeight="247650"/>
  <slicer name="SLA_Status" xr10:uid="{EC579E91-35BA-4C7F-9567-C7766C657321}" cache="Slicer_SLA_Status" caption="SLA_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ication 1" xr10:uid="{B0E464FE-6E41-489C-8F53-8F57CEF8560F}" cache="Slicer_Application" caption="Application" rowHeight="247650"/>
  <slicer name="Category 1" xr10:uid="{7FFD04C7-3B8E-4971-9AAC-F2ACDC81770B}" cache="Slicer_Category" caption="Category" rowHeight="247650"/>
  <slicer name="Priority 1" xr10:uid="{EA43A95A-8802-47AB-8EA8-235C98028792}" cache="Slicer_Priority" caption="Priority" rowHeight="247650"/>
  <slicer name="Assigned_Team 1" xr10:uid="{502B31F8-F7EC-49EE-8528-7B777EE9E29F}" cache="Slicer_Assigned_Team" caption="Assigned_Team" rowHeight="247650"/>
  <slicer name="SLA_Status 1" xr10:uid="{29E8B3ED-6980-4B4E-BE0A-B5F7C82F4985}" cache="Slicer_SLA_Status" caption="SLA_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585CE4-58A1-4BE5-AA36-702307324EE6}" name="incidents" displayName="incidents" ref="A1:Q61" totalsRowShown="0" headerRowDxfId="20" headerRowBorderDxfId="19" tableBorderDxfId="18" totalsRowBorderDxfId="17">
  <autoFilter ref="A1:Q61" xr:uid="{CE585CE4-58A1-4BE5-AA36-702307324EE6}"/>
  <tableColumns count="17">
    <tableColumn id="1" xr3:uid="{3F914340-D4B5-455A-9453-95C1D8BDA33E}" name="Incident_ID" dataDxfId="16"/>
    <tableColumn id="2" xr3:uid="{A4B0DE70-378C-41AD-B375-33A063C6D9D5}" name="Opened_Date" dataDxfId="15"/>
    <tableColumn id="3" xr3:uid="{F1C796CB-5926-4EBB-A079-8715EC64053D}" name="Resolved_Date" dataDxfId="14"/>
    <tableColumn id="4" xr3:uid="{A7762DD2-5A16-4F06-8300-C086D4AAF9F5}" name="Application" dataDxfId="13"/>
    <tableColumn id="5" xr3:uid="{4429E70C-A962-49D6-8BF3-8C50DD8EE2D8}" name="Category" dataDxfId="12"/>
    <tableColumn id="6" xr3:uid="{117CD78C-AFE7-4601-9B3D-93B890351A0E}" name="Priority" dataDxfId="11"/>
    <tableColumn id="7" xr3:uid="{8478553E-6C2F-4A3A-B237-92E7423A378E}" name="Status" dataDxfId="10"/>
    <tableColumn id="8" xr3:uid="{7D8F9078-C89F-4004-A5B0-46E60AFA03AD}" name="Assigned_Team" dataDxfId="9"/>
    <tableColumn id="9" xr3:uid="{DEFA686F-15AF-4083-9DD5-75841A936296}" name="Root_Cause" dataDxfId="8"/>
    <tableColumn id="10" xr3:uid="{F9490277-2A21-4742-9528-F9B3548AD503}" name="Resolution_Time_Hours" dataDxfId="7"/>
    <tableColumn id="11" xr3:uid="{71A98387-065F-472E-9CFB-568B02DB7CA3}" name="SLA_Target_Hours" dataDxfId="6"/>
    <tableColumn id="12" xr3:uid="{E81B9C23-984F-4017-8A49-77A8A599721C}" name="SLA_Status" dataDxfId="5"/>
    <tableColumn id="13" xr3:uid="{271B1D23-4E56-435A-8518-E84D19B2BF76}" name="Users_Affected" dataDxfId="4"/>
    <tableColumn id="14" xr3:uid="{59E363BB-3DA4-4DE8-9140-3154C0E18A6F}" name="Resolution_Notes" dataDxfId="3"/>
    <tableColumn id="15" xr3:uid="{9DDE3375-F2FA-4294-8BC9-83CD6700BEC6}" name="Month" dataDxfId="2">
      <calculatedColumnFormula>TEXT(B:B,"MMM yyyy")</calculatedColumnFormula>
    </tableColumn>
    <tableColumn id="16" xr3:uid="{22EC99E4-0DA4-437F-97A1-B04D70922250}" name="SLA_diff_hours" dataDxfId="1">
      <calculatedColumnFormula>(J:J-K:K)</calculatedColumnFormula>
    </tableColumn>
    <tableColumn id="17" xr3:uid="{24085C2D-1A31-43E3-BBB9-634E8122BCE1}" name="support_level" dataDxfId="0">
      <calculatedColumnFormula>IF(H1="L1 Support","L1","L2/L3")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56499-7D3B-4127-8B8D-42FE80411ECB}">
  <dimension ref="A3:I44"/>
  <sheetViews>
    <sheetView topLeftCell="A13" workbookViewId="0">
      <selection activeCell="B24" sqref="B24"/>
    </sheetView>
  </sheetViews>
  <sheetFormatPr defaultRowHeight="14.4" x14ac:dyDescent="0.3"/>
  <cols>
    <col min="1" max="1" width="14" bestFit="1" customWidth="1"/>
    <col min="2" max="2" width="21.33203125" bestFit="1" customWidth="1"/>
    <col min="3" max="3" width="14" bestFit="1" customWidth="1"/>
    <col min="4" max="4" width="19" bestFit="1" customWidth="1"/>
    <col min="5" max="5" width="13.6640625" bestFit="1" customWidth="1"/>
    <col min="7" max="8" width="12.44140625" bestFit="1" customWidth="1"/>
    <col min="9" max="9" width="21" bestFit="1" customWidth="1"/>
  </cols>
  <sheetData>
    <row r="3" spans="1:8" x14ac:dyDescent="0.3">
      <c r="A3" s="19" t="s">
        <v>179</v>
      </c>
      <c r="B3" t="s">
        <v>181</v>
      </c>
    </row>
    <row r="4" spans="1:8" x14ac:dyDescent="0.3">
      <c r="A4" s="20" t="s">
        <v>15</v>
      </c>
      <c r="B4" s="21">
        <v>4</v>
      </c>
    </row>
    <row r="5" spans="1:8" x14ac:dyDescent="0.3">
      <c r="A5" s="20" t="s">
        <v>180</v>
      </c>
      <c r="B5" s="21">
        <v>4</v>
      </c>
    </row>
    <row r="8" spans="1:8" x14ac:dyDescent="0.3">
      <c r="G8" s="19" t="s">
        <v>179</v>
      </c>
      <c r="H8" t="s">
        <v>182</v>
      </c>
    </row>
    <row r="9" spans="1:8" x14ac:dyDescent="0.3">
      <c r="G9" s="20" t="s">
        <v>26</v>
      </c>
      <c r="H9" s="21">
        <v>1</v>
      </c>
    </row>
    <row r="10" spans="1:8" x14ac:dyDescent="0.3">
      <c r="G10" s="20" t="s">
        <v>17</v>
      </c>
      <c r="H10" s="21">
        <v>3</v>
      </c>
    </row>
    <row r="11" spans="1:8" x14ac:dyDescent="0.3">
      <c r="G11" s="20" t="s">
        <v>180</v>
      </c>
      <c r="H11" s="21">
        <v>4</v>
      </c>
    </row>
    <row r="15" spans="1:8" x14ac:dyDescent="0.3">
      <c r="C15" s="19" t="s">
        <v>11</v>
      </c>
      <c r="D15" t="s">
        <v>29</v>
      </c>
    </row>
    <row r="17" spans="3:8" x14ac:dyDescent="0.3">
      <c r="C17" s="19" t="s">
        <v>179</v>
      </c>
      <c r="D17" t="s">
        <v>183</v>
      </c>
    </row>
    <row r="18" spans="3:8" x14ac:dyDescent="0.3">
      <c r="C18" s="20" t="s">
        <v>15</v>
      </c>
      <c r="D18" s="21">
        <v>4</v>
      </c>
    </row>
    <row r="19" spans="3:8" x14ac:dyDescent="0.3">
      <c r="C19" s="20" t="s">
        <v>180</v>
      </c>
      <c r="D19" s="21">
        <v>4</v>
      </c>
    </row>
    <row r="21" spans="3:8" x14ac:dyDescent="0.3">
      <c r="G21" s="19" t="s">
        <v>179</v>
      </c>
      <c r="H21" t="s">
        <v>184</v>
      </c>
    </row>
    <row r="22" spans="3:8" x14ac:dyDescent="0.3">
      <c r="G22" s="20" t="s">
        <v>50</v>
      </c>
      <c r="H22" s="21">
        <v>7</v>
      </c>
    </row>
    <row r="23" spans="3:8" x14ac:dyDescent="0.3">
      <c r="G23" s="20" t="s">
        <v>44</v>
      </c>
      <c r="H23" s="21">
        <v>9.3333333333333339</v>
      </c>
    </row>
    <row r="24" spans="3:8" x14ac:dyDescent="0.3">
      <c r="G24" s="20" t="s">
        <v>180</v>
      </c>
      <c r="H24" s="21">
        <v>8.75</v>
      </c>
    </row>
    <row r="29" spans="3:8" x14ac:dyDescent="0.3">
      <c r="D29" s="19" t="s">
        <v>179</v>
      </c>
      <c r="E29" t="s">
        <v>185</v>
      </c>
    </row>
    <row r="30" spans="3:8" x14ac:dyDescent="0.3">
      <c r="D30" s="20" t="s">
        <v>70</v>
      </c>
      <c r="E30" s="21">
        <v>1</v>
      </c>
    </row>
    <row r="31" spans="3:8" x14ac:dyDescent="0.3">
      <c r="D31" s="20" t="s">
        <v>46</v>
      </c>
      <c r="E31" s="21">
        <v>3</v>
      </c>
    </row>
    <row r="32" spans="3:8" x14ac:dyDescent="0.3">
      <c r="D32" s="20" t="s">
        <v>180</v>
      </c>
      <c r="E32" s="21">
        <v>4</v>
      </c>
    </row>
    <row r="39" spans="8:9" x14ac:dyDescent="0.3">
      <c r="H39" s="19" t="s">
        <v>179</v>
      </c>
      <c r="I39" t="s">
        <v>186</v>
      </c>
    </row>
    <row r="40" spans="8:9" x14ac:dyDescent="0.3">
      <c r="H40" s="22">
        <v>46179</v>
      </c>
      <c r="I40" s="21">
        <v>1</v>
      </c>
    </row>
    <row r="41" spans="8:9" x14ac:dyDescent="0.3">
      <c r="H41" s="22">
        <v>46184</v>
      </c>
      <c r="I41" s="21">
        <v>1</v>
      </c>
    </row>
    <row r="42" spans="8:9" x14ac:dyDescent="0.3">
      <c r="H42" s="22">
        <v>46189</v>
      </c>
      <c r="I42" s="21">
        <v>1</v>
      </c>
    </row>
    <row r="43" spans="8:9" x14ac:dyDescent="0.3">
      <c r="H43" s="22">
        <v>46199</v>
      </c>
      <c r="I43" s="21">
        <v>1</v>
      </c>
    </row>
    <row r="44" spans="8:9" x14ac:dyDescent="0.3">
      <c r="H44" s="22" t="s">
        <v>180</v>
      </c>
      <c r="I44" s="21">
        <v>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654B7-5E5A-4780-89B5-9177C237AC30}">
  <dimension ref="A1:R61"/>
  <sheetViews>
    <sheetView zoomScale="58" zoomScaleNormal="100" workbookViewId="0">
      <selection activeCell="J15" sqref="J15"/>
    </sheetView>
  </sheetViews>
  <sheetFormatPr defaultRowHeight="14.4" x14ac:dyDescent="0.3"/>
  <cols>
    <col min="1" max="1" width="13.109375" customWidth="1"/>
    <col min="2" max="2" width="15" style="1" customWidth="1"/>
    <col min="3" max="3" width="16.33203125" style="1" customWidth="1"/>
    <col min="4" max="4" width="15.44140625" bestFit="1" customWidth="1"/>
    <col min="5" max="5" width="11.5546875" bestFit="1" customWidth="1"/>
    <col min="6" max="6" width="9.44140625" customWidth="1"/>
    <col min="7" max="7" width="8.5546875" customWidth="1"/>
    <col min="8" max="8" width="16.5546875" customWidth="1"/>
    <col min="9" max="9" width="19" bestFit="1" customWidth="1"/>
    <col min="10" max="10" width="24" customWidth="1"/>
    <col min="11" max="11" width="18.6640625" customWidth="1"/>
    <col min="12" max="12" width="12.6640625" customWidth="1"/>
    <col min="13" max="13" width="16.44140625" customWidth="1"/>
    <col min="14" max="14" width="37.77734375" customWidth="1"/>
    <col min="15" max="15" width="8.5546875" customWidth="1"/>
    <col min="16" max="16" width="16" customWidth="1"/>
    <col min="17" max="17" width="15" customWidth="1"/>
  </cols>
  <sheetData>
    <row r="1" spans="1:18" s="10" customFormat="1" x14ac:dyDescent="0.3">
      <c r="A1" s="11" t="s">
        <v>0</v>
      </c>
      <c r="B1" s="12" t="s">
        <v>1</v>
      </c>
      <c r="C1" s="12" t="s">
        <v>2</v>
      </c>
      <c r="D1" s="13" t="s">
        <v>3</v>
      </c>
      <c r="E1" s="13" t="s">
        <v>4</v>
      </c>
      <c r="F1" s="13" t="s">
        <v>5</v>
      </c>
      <c r="G1" s="13" t="s">
        <v>6</v>
      </c>
      <c r="H1" s="13" t="s">
        <v>7</v>
      </c>
      <c r="I1" s="13" t="s">
        <v>8</v>
      </c>
      <c r="J1" s="13" t="s">
        <v>9</v>
      </c>
      <c r="K1" s="13" t="s">
        <v>10</v>
      </c>
      <c r="L1" s="13" t="s">
        <v>11</v>
      </c>
      <c r="M1" s="13" t="s">
        <v>12</v>
      </c>
      <c r="N1" s="13" t="s">
        <v>13</v>
      </c>
      <c r="O1" s="13" t="s">
        <v>170</v>
      </c>
      <c r="P1" s="13" t="s">
        <v>171</v>
      </c>
      <c r="Q1" s="14" t="s">
        <v>172</v>
      </c>
    </row>
    <row r="2" spans="1:18" x14ac:dyDescent="0.3">
      <c r="A2" s="4" t="s">
        <v>14</v>
      </c>
      <c r="B2" s="3">
        <v>46174</v>
      </c>
      <c r="C2" s="3">
        <v>46174</v>
      </c>
      <c r="D2" s="2" t="s">
        <v>15</v>
      </c>
      <c r="E2" s="2" t="s">
        <v>16</v>
      </c>
      <c r="F2" s="2" t="s">
        <v>17</v>
      </c>
      <c r="G2" s="2" t="s">
        <v>18</v>
      </c>
      <c r="H2" s="2" t="s">
        <v>19</v>
      </c>
      <c r="I2" s="2" t="s">
        <v>20</v>
      </c>
      <c r="J2" s="2">
        <v>2</v>
      </c>
      <c r="K2" s="2">
        <v>4</v>
      </c>
      <c r="L2" s="2" t="s">
        <v>21</v>
      </c>
      <c r="M2" s="2">
        <v>18</v>
      </c>
      <c r="N2" s="2" t="s">
        <v>22</v>
      </c>
      <c r="O2" s="2" t="str">
        <f>TEXT(B:B,"MMM yyyy")</f>
        <v>Jun 2026</v>
      </c>
      <c r="P2" s="2">
        <f>(J:J-K:K)</f>
        <v>-2</v>
      </c>
      <c r="Q2" s="5" t="str">
        <f>IF(H1="L1 Support","L1","L2/L3")</f>
        <v>L2/L3</v>
      </c>
    </row>
    <row r="3" spans="1:18" x14ac:dyDescent="0.3">
      <c r="A3" s="4" t="s">
        <v>23</v>
      </c>
      <c r="B3" s="3">
        <v>46174</v>
      </c>
      <c r="C3" s="3">
        <v>46175</v>
      </c>
      <c r="D3" s="2" t="s">
        <v>24</v>
      </c>
      <c r="E3" s="2" t="s">
        <v>25</v>
      </c>
      <c r="F3" s="2" t="s">
        <v>26</v>
      </c>
      <c r="G3" s="2" t="s">
        <v>18</v>
      </c>
      <c r="H3" s="2" t="s">
        <v>27</v>
      </c>
      <c r="I3" s="2" t="s">
        <v>28</v>
      </c>
      <c r="J3" s="2">
        <v>7</v>
      </c>
      <c r="K3" s="2">
        <v>4</v>
      </c>
      <c r="L3" s="2" t="s">
        <v>29</v>
      </c>
      <c r="M3" s="2">
        <v>450</v>
      </c>
      <c r="N3" s="2" t="s">
        <v>30</v>
      </c>
      <c r="O3" s="2" t="str">
        <f t="shared" ref="O3:O61" si="0">TEXT(B:B,"MMM yyyy")</f>
        <v>Jun 2026</v>
      </c>
      <c r="P3" s="2">
        <f t="shared" ref="P3:P61" si="1">(J:J-K:K)</f>
        <v>3</v>
      </c>
      <c r="Q3" s="5" t="str">
        <f t="shared" ref="Q3:Q61" si="2">IF(H2="L1 Support","L1","L2/L3")</f>
        <v>L1</v>
      </c>
    </row>
    <row r="4" spans="1:18" x14ac:dyDescent="0.3">
      <c r="A4" s="4" t="s">
        <v>31</v>
      </c>
      <c r="B4" s="3">
        <v>46175</v>
      </c>
      <c r="C4" s="3">
        <v>46175</v>
      </c>
      <c r="D4" s="2" t="s">
        <v>32</v>
      </c>
      <c r="E4" s="2" t="s">
        <v>33</v>
      </c>
      <c r="F4" s="2" t="s">
        <v>34</v>
      </c>
      <c r="G4" s="2" t="s">
        <v>35</v>
      </c>
      <c r="H4" s="2" t="s">
        <v>19</v>
      </c>
      <c r="I4" s="2" t="s">
        <v>36</v>
      </c>
      <c r="J4" s="2">
        <v>5</v>
      </c>
      <c r="K4" s="2">
        <v>8</v>
      </c>
      <c r="L4" s="2" t="s">
        <v>21</v>
      </c>
      <c r="M4" s="2">
        <v>1</v>
      </c>
      <c r="N4" s="2" t="s">
        <v>37</v>
      </c>
      <c r="O4" s="2" t="str">
        <f t="shared" si="0"/>
        <v>Jun 2026</v>
      </c>
      <c r="P4" s="2">
        <f t="shared" si="1"/>
        <v>-3</v>
      </c>
      <c r="Q4" s="5" t="str">
        <f t="shared" si="2"/>
        <v>L2/L3</v>
      </c>
    </row>
    <row r="5" spans="1:18" x14ac:dyDescent="0.3">
      <c r="A5" s="4" t="s">
        <v>38</v>
      </c>
      <c r="B5" s="3">
        <v>46175</v>
      </c>
      <c r="C5" s="3">
        <v>46176</v>
      </c>
      <c r="D5" s="2" t="s">
        <v>39</v>
      </c>
      <c r="E5" s="2" t="s">
        <v>40</v>
      </c>
      <c r="F5" s="2" t="s">
        <v>17</v>
      </c>
      <c r="G5" s="2" t="s">
        <v>18</v>
      </c>
      <c r="H5" s="2" t="s">
        <v>27</v>
      </c>
      <c r="I5" s="2" t="s">
        <v>41</v>
      </c>
      <c r="J5" s="2">
        <v>9</v>
      </c>
      <c r="K5" s="2">
        <v>8</v>
      </c>
      <c r="L5" s="2" t="s">
        <v>29</v>
      </c>
      <c r="M5" s="2">
        <v>120</v>
      </c>
      <c r="N5" s="2" t="s">
        <v>42</v>
      </c>
      <c r="O5" s="2" t="str">
        <f t="shared" si="0"/>
        <v>Jun 2026</v>
      </c>
      <c r="P5" s="2">
        <f t="shared" si="1"/>
        <v>1</v>
      </c>
      <c r="Q5" s="5" t="str">
        <f t="shared" si="2"/>
        <v>L1</v>
      </c>
    </row>
    <row r="6" spans="1:18" x14ac:dyDescent="0.3">
      <c r="A6" s="4" t="s">
        <v>43</v>
      </c>
      <c r="B6" s="3">
        <v>46176</v>
      </c>
      <c r="C6" s="3">
        <v>46176</v>
      </c>
      <c r="D6" s="2" t="s">
        <v>15</v>
      </c>
      <c r="E6" s="2" t="s">
        <v>44</v>
      </c>
      <c r="F6" s="2" t="s">
        <v>34</v>
      </c>
      <c r="G6" s="2" t="s">
        <v>18</v>
      </c>
      <c r="H6" s="2" t="s">
        <v>45</v>
      </c>
      <c r="I6" s="2" t="s">
        <v>46</v>
      </c>
      <c r="J6" s="2">
        <v>3</v>
      </c>
      <c r="K6" s="2">
        <v>8</v>
      </c>
      <c r="L6" s="2" t="s">
        <v>21</v>
      </c>
      <c r="M6" s="2">
        <v>35</v>
      </c>
      <c r="N6" s="2" t="s">
        <v>47</v>
      </c>
      <c r="O6" s="2" t="str">
        <f t="shared" si="0"/>
        <v>Jun 2026</v>
      </c>
      <c r="P6" s="2">
        <f t="shared" si="1"/>
        <v>-5</v>
      </c>
      <c r="Q6" s="5" t="str">
        <f t="shared" si="2"/>
        <v>L2/L3</v>
      </c>
    </row>
    <row r="7" spans="1:18" x14ac:dyDescent="0.3">
      <c r="A7" s="4" t="s">
        <v>48</v>
      </c>
      <c r="B7" s="3">
        <v>46176</v>
      </c>
      <c r="C7" s="3">
        <v>46177</v>
      </c>
      <c r="D7" s="2" t="s">
        <v>49</v>
      </c>
      <c r="E7" s="2" t="s">
        <v>50</v>
      </c>
      <c r="F7" s="2" t="s">
        <v>26</v>
      </c>
      <c r="G7" s="2" t="s">
        <v>18</v>
      </c>
      <c r="H7" s="2" t="s">
        <v>51</v>
      </c>
      <c r="I7" s="2" t="s">
        <v>52</v>
      </c>
      <c r="J7" s="2">
        <v>6</v>
      </c>
      <c r="K7" s="2">
        <v>4</v>
      </c>
      <c r="L7" s="2" t="s">
        <v>29</v>
      </c>
      <c r="M7" s="2">
        <v>280</v>
      </c>
      <c r="N7" s="2" t="s">
        <v>53</v>
      </c>
      <c r="O7" s="2" t="str">
        <f t="shared" si="0"/>
        <v>Jun 2026</v>
      </c>
      <c r="P7" s="2">
        <f t="shared" si="1"/>
        <v>2</v>
      </c>
      <c r="Q7" s="5" t="str">
        <f t="shared" si="2"/>
        <v>L2/L3</v>
      </c>
    </row>
    <row r="8" spans="1:18" x14ac:dyDescent="0.3">
      <c r="A8" s="4" t="s">
        <v>54</v>
      </c>
      <c r="B8" s="3">
        <v>46177</v>
      </c>
      <c r="C8" s="3">
        <v>46177</v>
      </c>
      <c r="D8" s="2" t="s">
        <v>32</v>
      </c>
      <c r="E8" s="2" t="s">
        <v>16</v>
      </c>
      <c r="F8" s="2" t="s">
        <v>55</v>
      </c>
      <c r="G8" s="2" t="s">
        <v>35</v>
      </c>
      <c r="H8" s="2" t="s">
        <v>19</v>
      </c>
      <c r="I8" s="2" t="s">
        <v>20</v>
      </c>
      <c r="J8" s="2">
        <v>1</v>
      </c>
      <c r="K8" s="2">
        <v>24</v>
      </c>
      <c r="L8" s="2" t="s">
        <v>21</v>
      </c>
      <c r="M8" s="2">
        <v>1</v>
      </c>
      <c r="N8" s="2" t="s">
        <v>56</v>
      </c>
      <c r="O8" s="2" t="str">
        <f t="shared" si="0"/>
        <v>Jun 2026</v>
      </c>
      <c r="P8" s="2">
        <f t="shared" si="1"/>
        <v>-23</v>
      </c>
      <c r="Q8" s="5" t="str">
        <f t="shared" si="2"/>
        <v>L2/L3</v>
      </c>
    </row>
    <row r="9" spans="1:18" x14ac:dyDescent="0.3">
      <c r="A9" s="4" t="s">
        <v>57</v>
      </c>
      <c r="B9" s="3">
        <v>46177</v>
      </c>
      <c r="C9" s="3">
        <v>46178</v>
      </c>
      <c r="D9" s="2" t="s">
        <v>39</v>
      </c>
      <c r="E9" s="2" t="s">
        <v>25</v>
      </c>
      <c r="F9" s="2" t="s">
        <v>17</v>
      </c>
      <c r="G9" s="2" t="s">
        <v>18</v>
      </c>
      <c r="H9" s="2" t="s">
        <v>27</v>
      </c>
      <c r="I9" s="2" t="s">
        <v>28</v>
      </c>
      <c r="J9" s="2">
        <v>6</v>
      </c>
      <c r="K9" s="2">
        <v>8</v>
      </c>
      <c r="L9" s="2" t="s">
        <v>21</v>
      </c>
      <c r="M9" s="2">
        <v>95</v>
      </c>
      <c r="N9" s="2" t="s">
        <v>58</v>
      </c>
      <c r="O9" s="2" t="str">
        <f t="shared" si="0"/>
        <v>Jun 2026</v>
      </c>
      <c r="P9" s="2">
        <f t="shared" si="1"/>
        <v>-2</v>
      </c>
      <c r="Q9" s="5" t="str">
        <f t="shared" si="2"/>
        <v>L1</v>
      </c>
      <c r="R9" s="10"/>
    </row>
    <row r="10" spans="1:18" x14ac:dyDescent="0.3">
      <c r="A10" s="4" t="s">
        <v>59</v>
      </c>
      <c r="B10" s="3">
        <v>46178</v>
      </c>
      <c r="C10" s="3">
        <v>46178</v>
      </c>
      <c r="D10" s="2" t="s">
        <v>24</v>
      </c>
      <c r="E10" s="2" t="s">
        <v>40</v>
      </c>
      <c r="F10" s="2" t="s">
        <v>26</v>
      </c>
      <c r="G10" s="2" t="s">
        <v>18</v>
      </c>
      <c r="H10" s="2" t="s">
        <v>27</v>
      </c>
      <c r="I10" s="2" t="s">
        <v>41</v>
      </c>
      <c r="J10" s="2">
        <v>3</v>
      </c>
      <c r="K10" s="2">
        <v>4</v>
      </c>
      <c r="L10" s="2" t="s">
        <v>21</v>
      </c>
      <c r="M10" s="2">
        <v>600</v>
      </c>
      <c r="N10" s="2" t="s">
        <v>60</v>
      </c>
      <c r="O10" s="2" t="str">
        <f t="shared" si="0"/>
        <v>Jun 2026</v>
      </c>
      <c r="P10" s="2">
        <f t="shared" si="1"/>
        <v>-1</v>
      </c>
      <c r="Q10" s="5" t="str">
        <f t="shared" si="2"/>
        <v>L2/L3</v>
      </c>
    </row>
    <row r="11" spans="1:18" x14ac:dyDescent="0.3">
      <c r="A11" s="4" t="s">
        <v>61</v>
      </c>
      <c r="B11" s="3">
        <v>46178</v>
      </c>
      <c r="C11" s="3">
        <v>46179</v>
      </c>
      <c r="D11" s="2" t="s">
        <v>49</v>
      </c>
      <c r="E11" s="2" t="s">
        <v>33</v>
      </c>
      <c r="F11" s="2" t="s">
        <v>34</v>
      </c>
      <c r="G11" s="2" t="s">
        <v>35</v>
      </c>
      <c r="H11" s="2" t="s">
        <v>19</v>
      </c>
      <c r="I11" s="2" t="s">
        <v>36</v>
      </c>
      <c r="J11" s="2">
        <v>7</v>
      </c>
      <c r="K11" s="2">
        <v>8</v>
      </c>
      <c r="L11" s="2" t="s">
        <v>21</v>
      </c>
      <c r="M11" s="2">
        <v>2</v>
      </c>
      <c r="N11" s="2" t="s">
        <v>62</v>
      </c>
      <c r="O11" s="2" t="str">
        <f t="shared" si="0"/>
        <v>Jun 2026</v>
      </c>
      <c r="P11" s="2">
        <f t="shared" si="1"/>
        <v>-1</v>
      </c>
      <c r="Q11" s="5" t="str">
        <f t="shared" si="2"/>
        <v>L2/L3</v>
      </c>
    </row>
    <row r="12" spans="1:18" x14ac:dyDescent="0.3">
      <c r="A12" s="4" t="s">
        <v>63</v>
      </c>
      <c r="B12" s="3">
        <v>46179</v>
      </c>
      <c r="C12" s="3">
        <v>46180</v>
      </c>
      <c r="D12" s="2" t="s">
        <v>15</v>
      </c>
      <c r="E12" s="2" t="s">
        <v>44</v>
      </c>
      <c r="F12" s="2" t="s">
        <v>17</v>
      </c>
      <c r="G12" s="2" t="s">
        <v>18</v>
      </c>
      <c r="H12" s="2" t="s">
        <v>45</v>
      </c>
      <c r="I12" s="2" t="s">
        <v>46</v>
      </c>
      <c r="J12" s="2">
        <v>10</v>
      </c>
      <c r="K12" s="2">
        <v>8</v>
      </c>
      <c r="L12" s="2" t="s">
        <v>29</v>
      </c>
      <c r="M12" s="2">
        <v>75</v>
      </c>
      <c r="N12" s="2" t="s">
        <v>64</v>
      </c>
      <c r="O12" s="2" t="str">
        <f t="shared" si="0"/>
        <v>Jun 2026</v>
      </c>
      <c r="P12" s="2">
        <f t="shared" si="1"/>
        <v>2</v>
      </c>
      <c r="Q12" s="5" t="str">
        <f t="shared" si="2"/>
        <v>L1</v>
      </c>
    </row>
    <row r="13" spans="1:18" x14ac:dyDescent="0.3">
      <c r="A13" s="4" t="s">
        <v>65</v>
      </c>
      <c r="B13" s="3">
        <v>46179</v>
      </c>
      <c r="C13" s="3">
        <v>46179</v>
      </c>
      <c r="D13" s="2" t="s">
        <v>32</v>
      </c>
      <c r="E13" s="2" t="s">
        <v>50</v>
      </c>
      <c r="F13" s="2" t="s">
        <v>34</v>
      </c>
      <c r="G13" s="2" t="s">
        <v>18</v>
      </c>
      <c r="H13" s="2" t="s">
        <v>51</v>
      </c>
      <c r="I13" s="2" t="s">
        <v>52</v>
      </c>
      <c r="J13" s="2">
        <v>4</v>
      </c>
      <c r="K13" s="2">
        <v>8</v>
      </c>
      <c r="L13" s="2" t="s">
        <v>21</v>
      </c>
      <c r="M13" s="2">
        <v>20</v>
      </c>
      <c r="N13" s="2" t="s">
        <v>66</v>
      </c>
      <c r="O13" s="2" t="str">
        <f t="shared" si="0"/>
        <v>Jun 2026</v>
      </c>
      <c r="P13" s="2">
        <f t="shared" si="1"/>
        <v>-4</v>
      </c>
      <c r="Q13" s="5" t="str">
        <f t="shared" si="2"/>
        <v>L2/L3</v>
      </c>
    </row>
    <row r="14" spans="1:18" x14ac:dyDescent="0.3">
      <c r="A14" s="4" t="s">
        <v>67</v>
      </c>
      <c r="B14" s="3">
        <v>46180</v>
      </c>
      <c r="C14" s="3">
        <v>46180</v>
      </c>
      <c r="D14" s="2" t="s">
        <v>39</v>
      </c>
      <c r="E14" s="2" t="s">
        <v>16</v>
      </c>
      <c r="F14" s="2" t="s">
        <v>34</v>
      </c>
      <c r="G14" s="2" t="s">
        <v>18</v>
      </c>
      <c r="H14" s="2" t="s">
        <v>19</v>
      </c>
      <c r="I14" s="2" t="s">
        <v>20</v>
      </c>
      <c r="J14" s="2">
        <v>3</v>
      </c>
      <c r="K14" s="2">
        <v>8</v>
      </c>
      <c r="L14" s="2" t="s">
        <v>21</v>
      </c>
      <c r="M14" s="2">
        <v>12</v>
      </c>
      <c r="N14" s="2" t="s">
        <v>68</v>
      </c>
      <c r="O14" s="2" t="str">
        <f t="shared" si="0"/>
        <v>Jun 2026</v>
      </c>
      <c r="P14" s="2">
        <f t="shared" si="1"/>
        <v>-5</v>
      </c>
      <c r="Q14" s="5" t="str">
        <f t="shared" si="2"/>
        <v>L2/L3</v>
      </c>
    </row>
    <row r="15" spans="1:18" x14ac:dyDescent="0.3">
      <c r="A15" s="4" t="s">
        <v>69</v>
      </c>
      <c r="B15" s="3">
        <v>46180</v>
      </c>
      <c r="C15" s="3">
        <v>46181</v>
      </c>
      <c r="D15" s="2" t="s">
        <v>24</v>
      </c>
      <c r="E15" s="2" t="s">
        <v>50</v>
      </c>
      <c r="F15" s="2" t="s">
        <v>26</v>
      </c>
      <c r="G15" s="2" t="s">
        <v>18</v>
      </c>
      <c r="H15" s="2" t="s">
        <v>51</v>
      </c>
      <c r="I15" s="2" t="s">
        <v>70</v>
      </c>
      <c r="J15" s="2">
        <v>8</v>
      </c>
      <c r="K15" s="2">
        <v>4</v>
      </c>
      <c r="L15" s="2" t="s">
        <v>29</v>
      </c>
      <c r="M15" s="2">
        <v>520</v>
      </c>
      <c r="N15" s="2" t="s">
        <v>71</v>
      </c>
      <c r="O15" s="2" t="str">
        <f t="shared" si="0"/>
        <v>Jun 2026</v>
      </c>
      <c r="P15" s="2">
        <f t="shared" si="1"/>
        <v>4</v>
      </c>
      <c r="Q15" s="5" t="str">
        <f t="shared" si="2"/>
        <v>L1</v>
      </c>
    </row>
    <row r="16" spans="1:18" x14ac:dyDescent="0.3">
      <c r="A16" s="4" t="s">
        <v>72</v>
      </c>
      <c r="B16" s="3">
        <v>46181</v>
      </c>
      <c r="C16" s="3">
        <v>46181</v>
      </c>
      <c r="D16" s="2" t="s">
        <v>49</v>
      </c>
      <c r="E16" s="2" t="s">
        <v>40</v>
      </c>
      <c r="F16" s="2" t="s">
        <v>17</v>
      </c>
      <c r="G16" s="2" t="s">
        <v>18</v>
      </c>
      <c r="H16" s="2" t="s">
        <v>27</v>
      </c>
      <c r="I16" s="2" t="s">
        <v>73</v>
      </c>
      <c r="J16" s="2">
        <v>6</v>
      </c>
      <c r="K16" s="2">
        <v>8</v>
      </c>
      <c r="L16" s="2" t="s">
        <v>21</v>
      </c>
      <c r="M16" s="2">
        <v>150</v>
      </c>
      <c r="N16" s="2" t="s">
        <v>74</v>
      </c>
      <c r="O16" s="2" t="str">
        <f t="shared" si="0"/>
        <v>Jun 2026</v>
      </c>
      <c r="P16" s="2">
        <f t="shared" si="1"/>
        <v>-2</v>
      </c>
      <c r="Q16" s="5" t="str">
        <f t="shared" si="2"/>
        <v>L2/L3</v>
      </c>
    </row>
    <row r="17" spans="1:17" x14ac:dyDescent="0.3">
      <c r="A17" s="4" t="s">
        <v>75</v>
      </c>
      <c r="B17" s="3">
        <v>46181</v>
      </c>
      <c r="C17" s="3">
        <v>46182</v>
      </c>
      <c r="D17" s="2" t="s">
        <v>32</v>
      </c>
      <c r="E17" s="2" t="s">
        <v>33</v>
      </c>
      <c r="F17" s="2" t="s">
        <v>17</v>
      </c>
      <c r="G17" s="2" t="s">
        <v>18</v>
      </c>
      <c r="H17" s="2" t="s">
        <v>19</v>
      </c>
      <c r="I17" s="2" t="s">
        <v>76</v>
      </c>
      <c r="J17" s="2">
        <v>10</v>
      </c>
      <c r="K17" s="2">
        <v>8</v>
      </c>
      <c r="L17" s="2" t="s">
        <v>29</v>
      </c>
      <c r="M17" s="2">
        <v>8</v>
      </c>
      <c r="N17" s="2" t="s">
        <v>77</v>
      </c>
      <c r="O17" s="2" t="str">
        <f t="shared" si="0"/>
        <v>Jun 2026</v>
      </c>
      <c r="P17" s="2">
        <f t="shared" si="1"/>
        <v>2</v>
      </c>
      <c r="Q17" s="5" t="str">
        <f t="shared" si="2"/>
        <v>L2/L3</v>
      </c>
    </row>
    <row r="18" spans="1:17" x14ac:dyDescent="0.3">
      <c r="A18" s="4" t="s">
        <v>78</v>
      </c>
      <c r="B18" s="3">
        <v>46182</v>
      </c>
      <c r="C18" s="3">
        <v>46182</v>
      </c>
      <c r="D18" s="2" t="s">
        <v>15</v>
      </c>
      <c r="E18" s="2" t="s">
        <v>25</v>
      </c>
      <c r="F18" s="2" t="s">
        <v>34</v>
      </c>
      <c r="G18" s="2" t="s">
        <v>35</v>
      </c>
      <c r="H18" s="2" t="s">
        <v>27</v>
      </c>
      <c r="I18" s="2" t="s">
        <v>28</v>
      </c>
      <c r="J18" s="2">
        <v>5</v>
      </c>
      <c r="K18" s="2">
        <v>8</v>
      </c>
      <c r="L18" s="2" t="s">
        <v>21</v>
      </c>
      <c r="M18" s="2">
        <v>40</v>
      </c>
      <c r="N18" s="2" t="s">
        <v>79</v>
      </c>
      <c r="O18" s="2" t="str">
        <f t="shared" si="0"/>
        <v>Jun 2026</v>
      </c>
      <c r="P18" s="2">
        <f t="shared" si="1"/>
        <v>-3</v>
      </c>
      <c r="Q18" s="5" t="str">
        <f t="shared" si="2"/>
        <v>L1</v>
      </c>
    </row>
    <row r="19" spans="1:17" x14ac:dyDescent="0.3">
      <c r="A19" s="4" t="s">
        <v>80</v>
      </c>
      <c r="B19" s="3">
        <v>46182</v>
      </c>
      <c r="C19" s="3">
        <v>46183</v>
      </c>
      <c r="D19" s="2" t="s">
        <v>39</v>
      </c>
      <c r="E19" s="2" t="s">
        <v>44</v>
      </c>
      <c r="F19" s="2" t="s">
        <v>26</v>
      </c>
      <c r="G19" s="2" t="s">
        <v>18</v>
      </c>
      <c r="H19" s="2" t="s">
        <v>45</v>
      </c>
      <c r="I19" s="2" t="s">
        <v>81</v>
      </c>
      <c r="J19" s="2">
        <v>7</v>
      </c>
      <c r="K19" s="2">
        <v>4</v>
      </c>
      <c r="L19" s="2" t="s">
        <v>29</v>
      </c>
      <c r="M19" s="2">
        <v>310</v>
      </c>
      <c r="N19" s="2" t="s">
        <v>82</v>
      </c>
      <c r="O19" s="2" t="str">
        <f t="shared" si="0"/>
        <v>Jun 2026</v>
      </c>
      <c r="P19" s="2">
        <f t="shared" si="1"/>
        <v>3</v>
      </c>
      <c r="Q19" s="5" t="str">
        <f t="shared" si="2"/>
        <v>L2/L3</v>
      </c>
    </row>
    <row r="20" spans="1:17" x14ac:dyDescent="0.3">
      <c r="A20" s="4" t="s">
        <v>83</v>
      </c>
      <c r="B20" s="3">
        <v>46183</v>
      </c>
      <c r="C20" s="3">
        <v>46183</v>
      </c>
      <c r="D20" s="2" t="s">
        <v>24</v>
      </c>
      <c r="E20" s="2" t="s">
        <v>16</v>
      </c>
      <c r="F20" s="2" t="s">
        <v>17</v>
      </c>
      <c r="G20" s="2" t="s">
        <v>18</v>
      </c>
      <c r="H20" s="2" t="s">
        <v>19</v>
      </c>
      <c r="I20" s="2" t="s">
        <v>84</v>
      </c>
      <c r="J20" s="2">
        <v>2</v>
      </c>
      <c r="K20" s="2">
        <v>4</v>
      </c>
      <c r="L20" s="2" t="s">
        <v>21</v>
      </c>
      <c r="M20" s="2">
        <v>65</v>
      </c>
      <c r="N20" s="2" t="s">
        <v>85</v>
      </c>
      <c r="O20" s="2" t="str">
        <f t="shared" si="0"/>
        <v>Jun 2026</v>
      </c>
      <c r="P20" s="2">
        <f t="shared" si="1"/>
        <v>-2</v>
      </c>
      <c r="Q20" s="5" t="str">
        <f t="shared" si="2"/>
        <v>L2/L3</v>
      </c>
    </row>
    <row r="21" spans="1:17" x14ac:dyDescent="0.3">
      <c r="A21" s="4" t="s">
        <v>86</v>
      </c>
      <c r="B21" s="3">
        <v>46183</v>
      </c>
      <c r="C21" s="3">
        <v>46184</v>
      </c>
      <c r="D21" s="2" t="s">
        <v>49</v>
      </c>
      <c r="E21" s="2" t="s">
        <v>50</v>
      </c>
      <c r="F21" s="2" t="s">
        <v>17</v>
      </c>
      <c r="G21" s="2" t="s">
        <v>18</v>
      </c>
      <c r="H21" s="2" t="s">
        <v>51</v>
      </c>
      <c r="I21" s="2" t="s">
        <v>52</v>
      </c>
      <c r="J21" s="2">
        <v>9</v>
      </c>
      <c r="K21" s="2">
        <v>8</v>
      </c>
      <c r="L21" s="2" t="s">
        <v>29</v>
      </c>
      <c r="M21" s="2">
        <v>175</v>
      </c>
      <c r="N21" s="2" t="s">
        <v>87</v>
      </c>
      <c r="O21" s="2" t="str">
        <f t="shared" si="0"/>
        <v>Jun 2026</v>
      </c>
      <c r="P21" s="2">
        <f t="shared" si="1"/>
        <v>1</v>
      </c>
      <c r="Q21" s="5" t="str">
        <f t="shared" si="2"/>
        <v>L1</v>
      </c>
    </row>
    <row r="22" spans="1:17" x14ac:dyDescent="0.3">
      <c r="A22" s="4" t="s">
        <v>88</v>
      </c>
      <c r="B22" s="3">
        <v>46184</v>
      </c>
      <c r="C22" s="3">
        <v>46184</v>
      </c>
      <c r="D22" s="2" t="s">
        <v>32</v>
      </c>
      <c r="E22" s="2" t="s">
        <v>40</v>
      </c>
      <c r="F22" s="2" t="s">
        <v>34</v>
      </c>
      <c r="G22" s="2" t="s">
        <v>18</v>
      </c>
      <c r="H22" s="2" t="s">
        <v>27</v>
      </c>
      <c r="I22" s="2" t="s">
        <v>89</v>
      </c>
      <c r="J22" s="2">
        <v>4</v>
      </c>
      <c r="K22" s="2">
        <v>8</v>
      </c>
      <c r="L22" s="2" t="s">
        <v>21</v>
      </c>
      <c r="M22" s="2">
        <v>30</v>
      </c>
      <c r="N22" s="2" t="s">
        <v>90</v>
      </c>
      <c r="O22" s="2" t="str">
        <f t="shared" si="0"/>
        <v>Jun 2026</v>
      </c>
      <c r="P22" s="2">
        <f t="shared" si="1"/>
        <v>-4</v>
      </c>
      <c r="Q22" s="5" t="str">
        <f t="shared" si="2"/>
        <v>L2/L3</v>
      </c>
    </row>
    <row r="23" spans="1:17" x14ac:dyDescent="0.3">
      <c r="A23" s="4" t="s">
        <v>91</v>
      </c>
      <c r="B23" s="3">
        <v>46184</v>
      </c>
      <c r="C23" s="3">
        <v>46185</v>
      </c>
      <c r="D23" s="2" t="s">
        <v>15</v>
      </c>
      <c r="E23" s="2" t="s">
        <v>44</v>
      </c>
      <c r="F23" s="2" t="s">
        <v>17</v>
      </c>
      <c r="G23" s="2" t="s">
        <v>18</v>
      </c>
      <c r="H23" s="2" t="s">
        <v>45</v>
      </c>
      <c r="I23" s="2" t="s">
        <v>46</v>
      </c>
      <c r="J23" s="2">
        <v>9</v>
      </c>
      <c r="K23" s="2">
        <v>8</v>
      </c>
      <c r="L23" s="2" t="s">
        <v>29</v>
      </c>
      <c r="M23" s="2">
        <v>90</v>
      </c>
      <c r="N23" s="2" t="s">
        <v>92</v>
      </c>
      <c r="O23" s="2" t="str">
        <f t="shared" si="0"/>
        <v>Jun 2026</v>
      </c>
      <c r="P23" s="2">
        <f t="shared" si="1"/>
        <v>1</v>
      </c>
      <c r="Q23" s="5" t="str">
        <f t="shared" si="2"/>
        <v>L2/L3</v>
      </c>
    </row>
    <row r="24" spans="1:17" x14ac:dyDescent="0.3">
      <c r="A24" s="4" t="s">
        <v>93</v>
      </c>
      <c r="B24" s="3">
        <v>46185</v>
      </c>
      <c r="C24" s="3">
        <v>46185</v>
      </c>
      <c r="D24" s="2" t="s">
        <v>39</v>
      </c>
      <c r="E24" s="2" t="s">
        <v>33</v>
      </c>
      <c r="F24" s="2" t="s">
        <v>55</v>
      </c>
      <c r="G24" s="2" t="s">
        <v>35</v>
      </c>
      <c r="H24" s="2" t="s">
        <v>19</v>
      </c>
      <c r="I24" s="2" t="s">
        <v>36</v>
      </c>
      <c r="J24" s="2">
        <v>2</v>
      </c>
      <c r="K24" s="2">
        <v>24</v>
      </c>
      <c r="L24" s="2" t="s">
        <v>21</v>
      </c>
      <c r="M24" s="2">
        <v>3</v>
      </c>
      <c r="N24" s="2" t="s">
        <v>94</v>
      </c>
      <c r="O24" s="2" t="str">
        <f t="shared" si="0"/>
        <v>Jun 2026</v>
      </c>
      <c r="P24" s="2">
        <f t="shared" si="1"/>
        <v>-22</v>
      </c>
      <c r="Q24" s="5" t="str">
        <f t="shared" si="2"/>
        <v>L2/L3</v>
      </c>
    </row>
    <row r="25" spans="1:17" x14ac:dyDescent="0.3">
      <c r="A25" s="4" t="s">
        <v>95</v>
      </c>
      <c r="B25" s="3">
        <v>46185</v>
      </c>
      <c r="C25" s="3">
        <v>46186</v>
      </c>
      <c r="D25" s="2" t="s">
        <v>24</v>
      </c>
      <c r="E25" s="2" t="s">
        <v>25</v>
      </c>
      <c r="F25" s="2" t="s">
        <v>26</v>
      </c>
      <c r="G25" s="2" t="s">
        <v>18</v>
      </c>
      <c r="H25" s="2" t="s">
        <v>27</v>
      </c>
      <c r="I25" s="2" t="s">
        <v>28</v>
      </c>
      <c r="J25" s="2">
        <v>6</v>
      </c>
      <c r="K25" s="2">
        <v>4</v>
      </c>
      <c r="L25" s="2" t="s">
        <v>29</v>
      </c>
      <c r="M25" s="2">
        <v>780</v>
      </c>
      <c r="N25" s="2" t="s">
        <v>96</v>
      </c>
      <c r="O25" s="2" t="str">
        <f t="shared" si="0"/>
        <v>Jun 2026</v>
      </c>
      <c r="P25" s="2">
        <f t="shared" si="1"/>
        <v>2</v>
      </c>
      <c r="Q25" s="5" t="str">
        <f t="shared" si="2"/>
        <v>L1</v>
      </c>
    </row>
    <row r="26" spans="1:17" x14ac:dyDescent="0.3">
      <c r="A26" s="4" t="s">
        <v>97</v>
      </c>
      <c r="B26" s="3">
        <v>46186</v>
      </c>
      <c r="C26" s="3">
        <v>46186</v>
      </c>
      <c r="D26" s="2" t="s">
        <v>49</v>
      </c>
      <c r="E26" s="2" t="s">
        <v>16</v>
      </c>
      <c r="F26" s="2" t="s">
        <v>34</v>
      </c>
      <c r="G26" s="2" t="s">
        <v>18</v>
      </c>
      <c r="H26" s="2" t="s">
        <v>19</v>
      </c>
      <c r="I26" s="2" t="s">
        <v>20</v>
      </c>
      <c r="J26" s="2">
        <v>4</v>
      </c>
      <c r="K26" s="2">
        <v>8</v>
      </c>
      <c r="L26" s="2" t="s">
        <v>21</v>
      </c>
      <c r="M26" s="2">
        <v>10</v>
      </c>
      <c r="N26" s="2" t="s">
        <v>56</v>
      </c>
      <c r="O26" s="2" t="str">
        <f t="shared" si="0"/>
        <v>Jun 2026</v>
      </c>
      <c r="P26" s="2">
        <f t="shared" si="1"/>
        <v>-4</v>
      </c>
      <c r="Q26" s="5" t="str">
        <f t="shared" si="2"/>
        <v>L2/L3</v>
      </c>
    </row>
    <row r="27" spans="1:17" x14ac:dyDescent="0.3">
      <c r="A27" s="4" t="s">
        <v>98</v>
      </c>
      <c r="B27" s="3">
        <v>46186</v>
      </c>
      <c r="C27" s="3">
        <v>46187</v>
      </c>
      <c r="D27" s="2" t="s">
        <v>32</v>
      </c>
      <c r="E27" s="2" t="s">
        <v>50</v>
      </c>
      <c r="F27" s="2" t="s">
        <v>17</v>
      </c>
      <c r="G27" s="2" t="s">
        <v>18</v>
      </c>
      <c r="H27" s="2" t="s">
        <v>51</v>
      </c>
      <c r="I27" s="2" t="s">
        <v>99</v>
      </c>
      <c r="J27" s="2">
        <v>9</v>
      </c>
      <c r="K27" s="2">
        <v>8</v>
      </c>
      <c r="L27" s="2" t="s">
        <v>29</v>
      </c>
      <c r="M27" s="2">
        <v>55</v>
      </c>
      <c r="N27" s="2" t="s">
        <v>100</v>
      </c>
      <c r="O27" s="2" t="str">
        <f t="shared" si="0"/>
        <v>Jun 2026</v>
      </c>
      <c r="P27" s="2">
        <f t="shared" si="1"/>
        <v>1</v>
      </c>
      <c r="Q27" s="5" t="str">
        <f t="shared" si="2"/>
        <v>L1</v>
      </c>
    </row>
    <row r="28" spans="1:17" x14ac:dyDescent="0.3">
      <c r="A28" s="4" t="s">
        <v>101</v>
      </c>
      <c r="B28" s="3">
        <v>46187</v>
      </c>
      <c r="C28" s="3">
        <v>46187</v>
      </c>
      <c r="D28" s="2" t="s">
        <v>15</v>
      </c>
      <c r="E28" s="2" t="s">
        <v>40</v>
      </c>
      <c r="F28" s="2" t="s">
        <v>34</v>
      </c>
      <c r="G28" s="2" t="s">
        <v>18</v>
      </c>
      <c r="H28" s="2" t="s">
        <v>27</v>
      </c>
      <c r="I28" s="2" t="s">
        <v>73</v>
      </c>
      <c r="J28" s="2">
        <v>5</v>
      </c>
      <c r="K28" s="2">
        <v>8</v>
      </c>
      <c r="L28" s="2" t="s">
        <v>21</v>
      </c>
      <c r="M28" s="2">
        <v>70</v>
      </c>
      <c r="N28" s="2" t="s">
        <v>102</v>
      </c>
      <c r="O28" s="2" t="str">
        <f t="shared" si="0"/>
        <v>Jun 2026</v>
      </c>
      <c r="P28" s="2">
        <f t="shared" si="1"/>
        <v>-3</v>
      </c>
      <c r="Q28" s="5" t="str">
        <f t="shared" si="2"/>
        <v>L2/L3</v>
      </c>
    </row>
    <row r="29" spans="1:17" x14ac:dyDescent="0.3">
      <c r="A29" s="4" t="s">
        <v>103</v>
      </c>
      <c r="B29" s="3">
        <v>46187</v>
      </c>
      <c r="C29" s="3">
        <v>46188</v>
      </c>
      <c r="D29" s="2" t="s">
        <v>39</v>
      </c>
      <c r="E29" s="2" t="s">
        <v>44</v>
      </c>
      <c r="F29" s="2" t="s">
        <v>26</v>
      </c>
      <c r="G29" s="2" t="s">
        <v>18</v>
      </c>
      <c r="H29" s="2" t="s">
        <v>45</v>
      </c>
      <c r="I29" s="2" t="s">
        <v>104</v>
      </c>
      <c r="J29" s="2">
        <v>8</v>
      </c>
      <c r="K29" s="2">
        <v>4</v>
      </c>
      <c r="L29" s="2" t="s">
        <v>29</v>
      </c>
      <c r="M29" s="2">
        <v>400</v>
      </c>
      <c r="N29" s="2" t="s">
        <v>105</v>
      </c>
      <c r="O29" s="2" t="str">
        <f t="shared" si="0"/>
        <v>Jun 2026</v>
      </c>
      <c r="P29" s="2">
        <f t="shared" si="1"/>
        <v>4</v>
      </c>
      <c r="Q29" s="5" t="str">
        <f t="shared" si="2"/>
        <v>L2/L3</v>
      </c>
    </row>
    <row r="30" spans="1:17" x14ac:dyDescent="0.3">
      <c r="A30" s="4" t="s">
        <v>106</v>
      </c>
      <c r="B30" s="3">
        <v>46188</v>
      </c>
      <c r="C30" s="3">
        <v>46188</v>
      </c>
      <c r="D30" s="2" t="s">
        <v>24</v>
      </c>
      <c r="E30" s="2" t="s">
        <v>33</v>
      </c>
      <c r="F30" s="2" t="s">
        <v>17</v>
      </c>
      <c r="G30" s="2" t="s">
        <v>18</v>
      </c>
      <c r="H30" s="2" t="s">
        <v>19</v>
      </c>
      <c r="I30" s="2" t="s">
        <v>36</v>
      </c>
      <c r="J30" s="2">
        <v>3</v>
      </c>
      <c r="K30" s="2">
        <v>4</v>
      </c>
      <c r="L30" s="2" t="s">
        <v>21</v>
      </c>
      <c r="M30" s="2">
        <v>15</v>
      </c>
      <c r="N30" s="2" t="s">
        <v>107</v>
      </c>
      <c r="O30" s="2" t="str">
        <f t="shared" si="0"/>
        <v>Jun 2026</v>
      </c>
      <c r="P30" s="2">
        <f t="shared" si="1"/>
        <v>-1</v>
      </c>
      <c r="Q30" s="5" t="str">
        <f t="shared" si="2"/>
        <v>L2/L3</v>
      </c>
    </row>
    <row r="31" spans="1:17" x14ac:dyDescent="0.3">
      <c r="A31" s="4" t="s">
        <v>108</v>
      </c>
      <c r="B31" s="3">
        <v>46188</v>
      </c>
      <c r="C31" s="3">
        <v>46189</v>
      </c>
      <c r="D31" s="2" t="s">
        <v>49</v>
      </c>
      <c r="E31" s="2" t="s">
        <v>25</v>
      </c>
      <c r="F31" s="2" t="s">
        <v>17</v>
      </c>
      <c r="G31" s="2" t="s">
        <v>18</v>
      </c>
      <c r="H31" s="2" t="s">
        <v>27</v>
      </c>
      <c r="I31" s="2" t="s">
        <v>28</v>
      </c>
      <c r="J31" s="2">
        <v>10</v>
      </c>
      <c r="K31" s="2">
        <v>8</v>
      </c>
      <c r="L31" s="2" t="s">
        <v>29</v>
      </c>
      <c r="M31" s="2">
        <v>210</v>
      </c>
      <c r="N31" s="2" t="s">
        <v>109</v>
      </c>
      <c r="O31" s="2" t="str">
        <f t="shared" si="0"/>
        <v>Jun 2026</v>
      </c>
      <c r="P31" s="2">
        <f t="shared" si="1"/>
        <v>2</v>
      </c>
      <c r="Q31" s="5" t="str">
        <f t="shared" si="2"/>
        <v>L1</v>
      </c>
    </row>
    <row r="32" spans="1:17" x14ac:dyDescent="0.3">
      <c r="A32" s="4" t="s">
        <v>110</v>
      </c>
      <c r="B32" s="3">
        <v>46189</v>
      </c>
      <c r="C32" s="3">
        <v>46189</v>
      </c>
      <c r="D32" s="2" t="s">
        <v>32</v>
      </c>
      <c r="E32" s="2" t="s">
        <v>16</v>
      </c>
      <c r="F32" s="2" t="s">
        <v>55</v>
      </c>
      <c r="G32" s="2" t="s">
        <v>35</v>
      </c>
      <c r="H32" s="2" t="s">
        <v>19</v>
      </c>
      <c r="I32" s="2" t="s">
        <v>84</v>
      </c>
      <c r="J32" s="2">
        <v>2</v>
      </c>
      <c r="K32" s="2">
        <v>24</v>
      </c>
      <c r="L32" s="2" t="s">
        <v>21</v>
      </c>
      <c r="M32" s="2">
        <v>1</v>
      </c>
      <c r="N32" s="2" t="s">
        <v>111</v>
      </c>
      <c r="O32" s="2" t="str">
        <f t="shared" si="0"/>
        <v>Jun 2026</v>
      </c>
      <c r="P32" s="2">
        <f t="shared" si="1"/>
        <v>-22</v>
      </c>
      <c r="Q32" s="5" t="str">
        <f t="shared" si="2"/>
        <v>L2/L3</v>
      </c>
    </row>
    <row r="33" spans="1:17" x14ac:dyDescent="0.3">
      <c r="A33" s="4" t="s">
        <v>112</v>
      </c>
      <c r="B33" s="3">
        <v>46189</v>
      </c>
      <c r="C33" s="3">
        <v>46190</v>
      </c>
      <c r="D33" s="2" t="s">
        <v>15</v>
      </c>
      <c r="E33" s="2" t="s">
        <v>50</v>
      </c>
      <c r="F33" s="2" t="s">
        <v>26</v>
      </c>
      <c r="G33" s="2" t="s">
        <v>18</v>
      </c>
      <c r="H33" s="2" t="s">
        <v>51</v>
      </c>
      <c r="I33" s="2" t="s">
        <v>70</v>
      </c>
      <c r="J33" s="2">
        <v>7</v>
      </c>
      <c r="K33" s="2">
        <v>4</v>
      </c>
      <c r="L33" s="2" t="s">
        <v>29</v>
      </c>
      <c r="M33" s="2">
        <v>230</v>
      </c>
      <c r="N33" s="2" t="s">
        <v>113</v>
      </c>
      <c r="O33" s="2" t="str">
        <f t="shared" si="0"/>
        <v>Jun 2026</v>
      </c>
      <c r="P33" s="2">
        <f t="shared" si="1"/>
        <v>3</v>
      </c>
      <c r="Q33" s="5" t="str">
        <f t="shared" si="2"/>
        <v>L1</v>
      </c>
    </row>
    <row r="34" spans="1:17" x14ac:dyDescent="0.3">
      <c r="A34" s="4" t="s">
        <v>114</v>
      </c>
      <c r="B34" s="3">
        <v>46190</v>
      </c>
      <c r="C34" s="3">
        <v>46190</v>
      </c>
      <c r="D34" s="2" t="s">
        <v>39</v>
      </c>
      <c r="E34" s="2" t="s">
        <v>40</v>
      </c>
      <c r="F34" s="2" t="s">
        <v>17</v>
      </c>
      <c r="G34" s="2" t="s">
        <v>18</v>
      </c>
      <c r="H34" s="2" t="s">
        <v>27</v>
      </c>
      <c r="I34" s="2" t="s">
        <v>41</v>
      </c>
      <c r="J34" s="2">
        <v>7</v>
      </c>
      <c r="K34" s="2">
        <v>8</v>
      </c>
      <c r="L34" s="2" t="s">
        <v>21</v>
      </c>
      <c r="M34" s="2">
        <v>180</v>
      </c>
      <c r="N34" s="2" t="s">
        <v>115</v>
      </c>
      <c r="O34" s="2" t="str">
        <f t="shared" si="0"/>
        <v>Jun 2026</v>
      </c>
      <c r="P34" s="2">
        <f t="shared" si="1"/>
        <v>-1</v>
      </c>
      <c r="Q34" s="5" t="str">
        <f t="shared" si="2"/>
        <v>L2/L3</v>
      </c>
    </row>
    <row r="35" spans="1:17" x14ac:dyDescent="0.3">
      <c r="A35" s="4" t="s">
        <v>116</v>
      </c>
      <c r="B35" s="3">
        <v>46190</v>
      </c>
      <c r="C35" s="3">
        <v>46191</v>
      </c>
      <c r="D35" s="2" t="s">
        <v>24</v>
      </c>
      <c r="E35" s="2" t="s">
        <v>44</v>
      </c>
      <c r="F35" s="2" t="s">
        <v>17</v>
      </c>
      <c r="G35" s="2" t="s">
        <v>18</v>
      </c>
      <c r="H35" s="2" t="s">
        <v>45</v>
      </c>
      <c r="I35" s="2" t="s">
        <v>81</v>
      </c>
      <c r="J35" s="2">
        <v>9</v>
      </c>
      <c r="K35" s="2">
        <v>8</v>
      </c>
      <c r="L35" s="2" t="s">
        <v>29</v>
      </c>
      <c r="M35" s="2">
        <v>260</v>
      </c>
      <c r="N35" s="2" t="s">
        <v>117</v>
      </c>
      <c r="O35" s="2" t="str">
        <f t="shared" si="0"/>
        <v>Jun 2026</v>
      </c>
      <c r="P35" s="2">
        <f t="shared" si="1"/>
        <v>1</v>
      </c>
      <c r="Q35" s="5" t="str">
        <f t="shared" si="2"/>
        <v>L2/L3</v>
      </c>
    </row>
    <row r="36" spans="1:17" x14ac:dyDescent="0.3">
      <c r="A36" s="4" t="s">
        <v>118</v>
      </c>
      <c r="B36" s="3">
        <v>46191</v>
      </c>
      <c r="C36" s="3">
        <v>46191</v>
      </c>
      <c r="D36" s="2" t="s">
        <v>49</v>
      </c>
      <c r="E36" s="2" t="s">
        <v>33</v>
      </c>
      <c r="F36" s="2" t="s">
        <v>34</v>
      </c>
      <c r="G36" s="2" t="s">
        <v>35</v>
      </c>
      <c r="H36" s="2" t="s">
        <v>19</v>
      </c>
      <c r="I36" s="2" t="s">
        <v>76</v>
      </c>
      <c r="J36" s="2">
        <v>6</v>
      </c>
      <c r="K36" s="2">
        <v>8</v>
      </c>
      <c r="L36" s="2" t="s">
        <v>21</v>
      </c>
      <c r="M36" s="2">
        <v>4</v>
      </c>
      <c r="N36" s="2" t="s">
        <v>119</v>
      </c>
      <c r="O36" s="2" t="str">
        <f t="shared" si="0"/>
        <v>Jun 2026</v>
      </c>
      <c r="P36" s="2">
        <f t="shared" si="1"/>
        <v>-2</v>
      </c>
      <c r="Q36" s="5" t="str">
        <f t="shared" si="2"/>
        <v>L2/L3</v>
      </c>
    </row>
    <row r="37" spans="1:17" x14ac:dyDescent="0.3">
      <c r="A37" s="4" t="s">
        <v>120</v>
      </c>
      <c r="B37" s="3">
        <v>46191</v>
      </c>
      <c r="C37" s="3">
        <v>46192</v>
      </c>
      <c r="D37" s="2" t="s">
        <v>32</v>
      </c>
      <c r="E37" s="2" t="s">
        <v>25</v>
      </c>
      <c r="F37" s="2" t="s">
        <v>26</v>
      </c>
      <c r="G37" s="2" t="s">
        <v>18</v>
      </c>
      <c r="H37" s="2" t="s">
        <v>27</v>
      </c>
      <c r="I37" s="2" t="s">
        <v>28</v>
      </c>
      <c r="J37" s="2">
        <v>5</v>
      </c>
      <c r="K37" s="2">
        <v>4</v>
      </c>
      <c r="L37" s="2" t="s">
        <v>29</v>
      </c>
      <c r="M37" s="2">
        <v>330</v>
      </c>
      <c r="N37" s="2" t="s">
        <v>121</v>
      </c>
      <c r="O37" s="2" t="str">
        <f t="shared" si="0"/>
        <v>Jun 2026</v>
      </c>
      <c r="P37" s="2">
        <f t="shared" si="1"/>
        <v>1</v>
      </c>
      <c r="Q37" s="5" t="str">
        <f t="shared" si="2"/>
        <v>L1</v>
      </c>
    </row>
    <row r="38" spans="1:17" x14ac:dyDescent="0.3">
      <c r="A38" s="4" t="s">
        <v>122</v>
      </c>
      <c r="B38" s="3">
        <v>46192</v>
      </c>
      <c r="C38" s="3">
        <v>46192</v>
      </c>
      <c r="D38" s="2" t="s">
        <v>15</v>
      </c>
      <c r="E38" s="2" t="s">
        <v>16</v>
      </c>
      <c r="F38" s="2" t="s">
        <v>17</v>
      </c>
      <c r="G38" s="2" t="s">
        <v>18</v>
      </c>
      <c r="H38" s="2" t="s">
        <v>19</v>
      </c>
      <c r="I38" s="2" t="s">
        <v>20</v>
      </c>
      <c r="J38" s="2">
        <v>3</v>
      </c>
      <c r="K38" s="2">
        <v>4</v>
      </c>
      <c r="L38" s="2" t="s">
        <v>21</v>
      </c>
      <c r="M38" s="2">
        <v>45</v>
      </c>
      <c r="N38" s="2" t="s">
        <v>123</v>
      </c>
      <c r="O38" s="2" t="str">
        <f t="shared" si="0"/>
        <v>Jun 2026</v>
      </c>
      <c r="P38" s="2">
        <f t="shared" si="1"/>
        <v>-1</v>
      </c>
      <c r="Q38" s="5" t="str">
        <f t="shared" si="2"/>
        <v>L2/L3</v>
      </c>
    </row>
    <row r="39" spans="1:17" x14ac:dyDescent="0.3">
      <c r="A39" s="4" t="s">
        <v>124</v>
      </c>
      <c r="B39" s="3">
        <v>46192</v>
      </c>
      <c r="C39" s="3">
        <v>46193</v>
      </c>
      <c r="D39" s="2" t="s">
        <v>39</v>
      </c>
      <c r="E39" s="2" t="s">
        <v>50</v>
      </c>
      <c r="F39" s="2" t="s">
        <v>17</v>
      </c>
      <c r="G39" s="2" t="s">
        <v>18</v>
      </c>
      <c r="H39" s="2" t="s">
        <v>51</v>
      </c>
      <c r="I39" s="2" t="s">
        <v>52</v>
      </c>
      <c r="J39" s="2">
        <v>9</v>
      </c>
      <c r="K39" s="2">
        <v>8</v>
      </c>
      <c r="L39" s="2" t="s">
        <v>29</v>
      </c>
      <c r="M39" s="2">
        <v>110</v>
      </c>
      <c r="N39" s="2" t="s">
        <v>125</v>
      </c>
      <c r="O39" s="2" t="str">
        <f t="shared" si="0"/>
        <v>Jun 2026</v>
      </c>
      <c r="P39" s="2">
        <f t="shared" si="1"/>
        <v>1</v>
      </c>
      <c r="Q39" s="5" t="str">
        <f t="shared" si="2"/>
        <v>L1</v>
      </c>
    </row>
    <row r="40" spans="1:17" x14ac:dyDescent="0.3">
      <c r="A40" s="4" t="s">
        <v>126</v>
      </c>
      <c r="B40" s="3">
        <v>46193</v>
      </c>
      <c r="C40" s="3">
        <v>46193</v>
      </c>
      <c r="D40" s="2" t="s">
        <v>24</v>
      </c>
      <c r="E40" s="2" t="s">
        <v>40</v>
      </c>
      <c r="F40" s="2" t="s">
        <v>34</v>
      </c>
      <c r="G40" s="2" t="s">
        <v>18</v>
      </c>
      <c r="H40" s="2" t="s">
        <v>27</v>
      </c>
      <c r="I40" s="2" t="s">
        <v>89</v>
      </c>
      <c r="J40" s="2">
        <v>6</v>
      </c>
      <c r="K40" s="2">
        <v>8</v>
      </c>
      <c r="L40" s="2" t="s">
        <v>21</v>
      </c>
      <c r="M40" s="2">
        <v>220</v>
      </c>
      <c r="N40" s="2" t="s">
        <v>127</v>
      </c>
      <c r="O40" s="2" t="str">
        <f t="shared" si="0"/>
        <v>Jun 2026</v>
      </c>
      <c r="P40" s="2">
        <f t="shared" si="1"/>
        <v>-2</v>
      </c>
      <c r="Q40" s="5" t="str">
        <f t="shared" si="2"/>
        <v>L2/L3</v>
      </c>
    </row>
    <row r="41" spans="1:17" x14ac:dyDescent="0.3">
      <c r="A41" s="4" t="s">
        <v>128</v>
      </c>
      <c r="B41" s="3">
        <v>46193</v>
      </c>
      <c r="C41" s="3">
        <v>46194</v>
      </c>
      <c r="D41" s="2" t="s">
        <v>49</v>
      </c>
      <c r="E41" s="2" t="s">
        <v>44</v>
      </c>
      <c r="F41" s="2" t="s">
        <v>26</v>
      </c>
      <c r="G41" s="2" t="s">
        <v>18</v>
      </c>
      <c r="H41" s="2" t="s">
        <v>45</v>
      </c>
      <c r="I41" s="2" t="s">
        <v>46</v>
      </c>
      <c r="J41" s="2">
        <v>8</v>
      </c>
      <c r="K41" s="2">
        <v>4</v>
      </c>
      <c r="L41" s="2" t="s">
        <v>29</v>
      </c>
      <c r="M41" s="2">
        <v>350</v>
      </c>
      <c r="N41" s="2" t="s">
        <v>129</v>
      </c>
      <c r="O41" s="2" t="str">
        <f t="shared" si="0"/>
        <v>Jun 2026</v>
      </c>
      <c r="P41" s="2">
        <f t="shared" si="1"/>
        <v>4</v>
      </c>
      <c r="Q41" s="5" t="str">
        <f t="shared" si="2"/>
        <v>L2/L3</v>
      </c>
    </row>
    <row r="42" spans="1:17" x14ac:dyDescent="0.3">
      <c r="A42" s="4" t="s">
        <v>130</v>
      </c>
      <c r="B42" s="3">
        <v>46194</v>
      </c>
      <c r="C42" s="3">
        <v>46194</v>
      </c>
      <c r="D42" s="2" t="s">
        <v>32</v>
      </c>
      <c r="E42" s="2" t="s">
        <v>33</v>
      </c>
      <c r="F42" s="2" t="s">
        <v>34</v>
      </c>
      <c r="G42" s="2" t="s">
        <v>35</v>
      </c>
      <c r="H42" s="2" t="s">
        <v>19</v>
      </c>
      <c r="I42" s="2" t="s">
        <v>36</v>
      </c>
      <c r="J42" s="2">
        <v>4</v>
      </c>
      <c r="K42" s="2">
        <v>8</v>
      </c>
      <c r="L42" s="2" t="s">
        <v>21</v>
      </c>
      <c r="M42" s="2">
        <v>2</v>
      </c>
      <c r="N42" s="2" t="s">
        <v>131</v>
      </c>
      <c r="O42" s="2" t="str">
        <f t="shared" si="0"/>
        <v>Jun 2026</v>
      </c>
      <c r="P42" s="2">
        <f t="shared" si="1"/>
        <v>-4</v>
      </c>
      <c r="Q42" s="5" t="str">
        <f t="shared" si="2"/>
        <v>L2/L3</v>
      </c>
    </row>
    <row r="43" spans="1:17" x14ac:dyDescent="0.3">
      <c r="A43" s="4" t="s">
        <v>132</v>
      </c>
      <c r="B43" s="3">
        <v>46194</v>
      </c>
      <c r="C43" s="3">
        <v>46195</v>
      </c>
      <c r="D43" s="2" t="s">
        <v>15</v>
      </c>
      <c r="E43" s="2" t="s">
        <v>25</v>
      </c>
      <c r="F43" s="2" t="s">
        <v>17</v>
      </c>
      <c r="G43" s="2" t="s">
        <v>18</v>
      </c>
      <c r="H43" s="2" t="s">
        <v>27</v>
      </c>
      <c r="I43" s="2" t="s">
        <v>28</v>
      </c>
      <c r="J43" s="2">
        <v>7</v>
      </c>
      <c r="K43" s="2">
        <v>8</v>
      </c>
      <c r="L43" s="2" t="s">
        <v>21</v>
      </c>
      <c r="M43" s="2">
        <v>85</v>
      </c>
      <c r="N43" s="2" t="s">
        <v>133</v>
      </c>
      <c r="O43" s="2" t="str">
        <f t="shared" si="0"/>
        <v>Jun 2026</v>
      </c>
      <c r="P43" s="2">
        <f t="shared" si="1"/>
        <v>-1</v>
      </c>
      <c r="Q43" s="5" t="str">
        <f t="shared" si="2"/>
        <v>L1</v>
      </c>
    </row>
    <row r="44" spans="1:17" x14ac:dyDescent="0.3">
      <c r="A44" s="4" t="s">
        <v>134</v>
      </c>
      <c r="B44" s="3">
        <v>46195</v>
      </c>
      <c r="C44" s="3">
        <v>46195</v>
      </c>
      <c r="D44" s="2" t="s">
        <v>39</v>
      </c>
      <c r="E44" s="2" t="s">
        <v>16</v>
      </c>
      <c r="F44" s="2" t="s">
        <v>55</v>
      </c>
      <c r="G44" s="2" t="s">
        <v>35</v>
      </c>
      <c r="H44" s="2" t="s">
        <v>19</v>
      </c>
      <c r="I44" s="2" t="s">
        <v>84</v>
      </c>
      <c r="J44" s="2">
        <v>1</v>
      </c>
      <c r="K44" s="2">
        <v>24</v>
      </c>
      <c r="L44" s="2" t="s">
        <v>21</v>
      </c>
      <c r="M44" s="2">
        <v>1</v>
      </c>
      <c r="N44" s="2" t="s">
        <v>135</v>
      </c>
      <c r="O44" s="2" t="str">
        <f t="shared" si="0"/>
        <v>Jun 2026</v>
      </c>
      <c r="P44" s="2">
        <f t="shared" si="1"/>
        <v>-23</v>
      </c>
      <c r="Q44" s="5" t="str">
        <f t="shared" si="2"/>
        <v>L2/L3</v>
      </c>
    </row>
    <row r="45" spans="1:17" x14ac:dyDescent="0.3">
      <c r="A45" s="4" t="s">
        <v>136</v>
      </c>
      <c r="B45" s="3">
        <v>46195</v>
      </c>
      <c r="C45" s="3">
        <v>46196</v>
      </c>
      <c r="D45" s="2" t="s">
        <v>24</v>
      </c>
      <c r="E45" s="2" t="s">
        <v>50</v>
      </c>
      <c r="F45" s="2" t="s">
        <v>26</v>
      </c>
      <c r="G45" s="2" t="s">
        <v>18</v>
      </c>
      <c r="H45" s="2" t="s">
        <v>51</v>
      </c>
      <c r="I45" s="2" t="s">
        <v>99</v>
      </c>
      <c r="J45" s="2">
        <v>6</v>
      </c>
      <c r="K45" s="2">
        <v>4</v>
      </c>
      <c r="L45" s="2" t="s">
        <v>29</v>
      </c>
      <c r="M45" s="2">
        <v>670</v>
      </c>
      <c r="N45" s="2" t="s">
        <v>137</v>
      </c>
      <c r="O45" s="2" t="str">
        <f t="shared" si="0"/>
        <v>Jun 2026</v>
      </c>
      <c r="P45" s="2">
        <f t="shared" si="1"/>
        <v>2</v>
      </c>
      <c r="Q45" s="5" t="str">
        <f t="shared" si="2"/>
        <v>L1</v>
      </c>
    </row>
    <row r="46" spans="1:17" x14ac:dyDescent="0.3">
      <c r="A46" s="4" t="s">
        <v>138</v>
      </c>
      <c r="B46" s="3">
        <v>46196</v>
      </c>
      <c r="C46" s="3">
        <v>46196</v>
      </c>
      <c r="D46" s="2" t="s">
        <v>49</v>
      </c>
      <c r="E46" s="2" t="s">
        <v>40</v>
      </c>
      <c r="F46" s="2" t="s">
        <v>17</v>
      </c>
      <c r="G46" s="2" t="s">
        <v>18</v>
      </c>
      <c r="H46" s="2" t="s">
        <v>27</v>
      </c>
      <c r="I46" s="2" t="s">
        <v>73</v>
      </c>
      <c r="J46" s="2">
        <v>5</v>
      </c>
      <c r="K46" s="2">
        <v>8</v>
      </c>
      <c r="L46" s="2" t="s">
        <v>21</v>
      </c>
      <c r="M46" s="2">
        <v>145</v>
      </c>
      <c r="N46" s="2" t="s">
        <v>139</v>
      </c>
      <c r="O46" s="2" t="str">
        <f t="shared" si="0"/>
        <v>Jun 2026</v>
      </c>
      <c r="P46" s="2">
        <f t="shared" si="1"/>
        <v>-3</v>
      </c>
      <c r="Q46" s="5" t="str">
        <f t="shared" si="2"/>
        <v>L2/L3</v>
      </c>
    </row>
    <row r="47" spans="1:17" x14ac:dyDescent="0.3">
      <c r="A47" s="4" t="s">
        <v>140</v>
      </c>
      <c r="B47" s="3">
        <v>46196</v>
      </c>
      <c r="C47" s="3">
        <v>46197</v>
      </c>
      <c r="D47" s="2" t="s">
        <v>32</v>
      </c>
      <c r="E47" s="2" t="s">
        <v>44</v>
      </c>
      <c r="F47" s="2" t="s">
        <v>17</v>
      </c>
      <c r="G47" s="2" t="s">
        <v>18</v>
      </c>
      <c r="H47" s="2" t="s">
        <v>45</v>
      </c>
      <c r="I47" s="2" t="s">
        <v>81</v>
      </c>
      <c r="J47" s="2">
        <v>9</v>
      </c>
      <c r="K47" s="2">
        <v>8</v>
      </c>
      <c r="L47" s="2" t="s">
        <v>29</v>
      </c>
      <c r="M47" s="2">
        <v>60</v>
      </c>
      <c r="N47" s="2" t="s">
        <v>141</v>
      </c>
      <c r="O47" s="2" t="str">
        <f t="shared" si="0"/>
        <v>Jun 2026</v>
      </c>
      <c r="P47" s="2">
        <f t="shared" si="1"/>
        <v>1</v>
      </c>
      <c r="Q47" s="5" t="str">
        <f t="shared" si="2"/>
        <v>L2/L3</v>
      </c>
    </row>
    <row r="48" spans="1:17" x14ac:dyDescent="0.3">
      <c r="A48" s="4" t="s">
        <v>142</v>
      </c>
      <c r="B48" s="3">
        <v>46197</v>
      </c>
      <c r="C48" s="3">
        <v>46197</v>
      </c>
      <c r="D48" s="2" t="s">
        <v>15</v>
      </c>
      <c r="E48" s="2" t="s">
        <v>33</v>
      </c>
      <c r="F48" s="2" t="s">
        <v>34</v>
      </c>
      <c r="G48" s="2" t="s">
        <v>35</v>
      </c>
      <c r="H48" s="2" t="s">
        <v>19</v>
      </c>
      <c r="I48" s="2" t="s">
        <v>76</v>
      </c>
      <c r="J48" s="2">
        <v>5</v>
      </c>
      <c r="K48" s="2">
        <v>8</v>
      </c>
      <c r="L48" s="2" t="s">
        <v>21</v>
      </c>
      <c r="M48" s="2">
        <v>6</v>
      </c>
      <c r="N48" s="2" t="s">
        <v>143</v>
      </c>
      <c r="O48" s="2" t="str">
        <f t="shared" si="0"/>
        <v>Jun 2026</v>
      </c>
      <c r="P48" s="2">
        <f t="shared" si="1"/>
        <v>-3</v>
      </c>
      <c r="Q48" s="5" t="str">
        <f t="shared" si="2"/>
        <v>L2/L3</v>
      </c>
    </row>
    <row r="49" spans="1:17" x14ac:dyDescent="0.3">
      <c r="A49" s="4" t="s">
        <v>144</v>
      </c>
      <c r="B49" s="3">
        <v>46197</v>
      </c>
      <c r="C49" s="3">
        <v>46198</v>
      </c>
      <c r="D49" s="2" t="s">
        <v>39</v>
      </c>
      <c r="E49" s="2" t="s">
        <v>25</v>
      </c>
      <c r="F49" s="2" t="s">
        <v>26</v>
      </c>
      <c r="G49" s="2" t="s">
        <v>18</v>
      </c>
      <c r="H49" s="2" t="s">
        <v>27</v>
      </c>
      <c r="I49" s="2" t="s">
        <v>28</v>
      </c>
      <c r="J49" s="2">
        <v>8</v>
      </c>
      <c r="K49" s="2">
        <v>4</v>
      </c>
      <c r="L49" s="2" t="s">
        <v>29</v>
      </c>
      <c r="M49" s="2">
        <v>500</v>
      </c>
      <c r="N49" s="2" t="s">
        <v>145</v>
      </c>
      <c r="O49" s="2" t="str">
        <f t="shared" si="0"/>
        <v>Jun 2026</v>
      </c>
      <c r="P49" s="2">
        <f t="shared" si="1"/>
        <v>4</v>
      </c>
      <c r="Q49" s="5" t="str">
        <f t="shared" si="2"/>
        <v>L1</v>
      </c>
    </row>
    <row r="50" spans="1:17" x14ac:dyDescent="0.3">
      <c r="A50" s="4" t="s">
        <v>146</v>
      </c>
      <c r="B50" s="3">
        <v>46198</v>
      </c>
      <c r="C50" s="3">
        <v>46198</v>
      </c>
      <c r="D50" s="2" t="s">
        <v>24</v>
      </c>
      <c r="E50" s="2" t="s">
        <v>16</v>
      </c>
      <c r="F50" s="2" t="s">
        <v>17</v>
      </c>
      <c r="G50" s="2" t="s">
        <v>18</v>
      </c>
      <c r="H50" s="2" t="s">
        <v>19</v>
      </c>
      <c r="I50" s="2" t="s">
        <v>20</v>
      </c>
      <c r="J50" s="2">
        <v>2</v>
      </c>
      <c r="K50" s="2">
        <v>4</v>
      </c>
      <c r="L50" s="2" t="s">
        <v>21</v>
      </c>
      <c r="M50" s="2">
        <v>80</v>
      </c>
      <c r="N50" s="2" t="s">
        <v>147</v>
      </c>
      <c r="O50" s="2" t="str">
        <f t="shared" si="0"/>
        <v>Jun 2026</v>
      </c>
      <c r="P50" s="2">
        <f t="shared" si="1"/>
        <v>-2</v>
      </c>
      <c r="Q50" s="5" t="str">
        <f t="shared" si="2"/>
        <v>L2/L3</v>
      </c>
    </row>
    <row r="51" spans="1:17" x14ac:dyDescent="0.3">
      <c r="A51" s="4" t="s">
        <v>148</v>
      </c>
      <c r="B51" s="3">
        <v>46198</v>
      </c>
      <c r="C51" s="3">
        <v>46199</v>
      </c>
      <c r="D51" s="2" t="s">
        <v>49</v>
      </c>
      <c r="E51" s="2" t="s">
        <v>50</v>
      </c>
      <c r="F51" s="2" t="s">
        <v>17</v>
      </c>
      <c r="G51" s="2" t="s">
        <v>18</v>
      </c>
      <c r="H51" s="2" t="s">
        <v>51</v>
      </c>
      <c r="I51" s="2" t="s">
        <v>52</v>
      </c>
      <c r="J51" s="2">
        <v>10</v>
      </c>
      <c r="K51" s="2">
        <v>8</v>
      </c>
      <c r="L51" s="2" t="s">
        <v>29</v>
      </c>
      <c r="M51" s="2">
        <v>190</v>
      </c>
      <c r="N51" s="2" t="s">
        <v>149</v>
      </c>
      <c r="O51" s="2" t="str">
        <f t="shared" si="0"/>
        <v>Jun 2026</v>
      </c>
      <c r="P51" s="2">
        <f t="shared" si="1"/>
        <v>2</v>
      </c>
      <c r="Q51" s="5" t="str">
        <f t="shared" si="2"/>
        <v>L1</v>
      </c>
    </row>
    <row r="52" spans="1:17" x14ac:dyDescent="0.3">
      <c r="A52" s="4" t="s">
        <v>150</v>
      </c>
      <c r="B52" s="3">
        <v>46199</v>
      </c>
      <c r="C52" s="3">
        <v>46199</v>
      </c>
      <c r="D52" s="2" t="s">
        <v>32</v>
      </c>
      <c r="E52" s="2" t="s">
        <v>40</v>
      </c>
      <c r="F52" s="2" t="s">
        <v>34</v>
      </c>
      <c r="G52" s="2" t="s">
        <v>18</v>
      </c>
      <c r="H52" s="2" t="s">
        <v>27</v>
      </c>
      <c r="I52" s="2" t="s">
        <v>41</v>
      </c>
      <c r="J52" s="2">
        <v>4</v>
      </c>
      <c r="K52" s="2">
        <v>8</v>
      </c>
      <c r="L52" s="2" t="s">
        <v>21</v>
      </c>
      <c r="M52" s="2">
        <v>25</v>
      </c>
      <c r="N52" s="2" t="s">
        <v>151</v>
      </c>
      <c r="O52" s="2" t="str">
        <f t="shared" si="0"/>
        <v>Jun 2026</v>
      </c>
      <c r="P52" s="2">
        <f t="shared" si="1"/>
        <v>-4</v>
      </c>
      <c r="Q52" s="5" t="str">
        <f t="shared" si="2"/>
        <v>L2/L3</v>
      </c>
    </row>
    <row r="53" spans="1:17" x14ac:dyDescent="0.3">
      <c r="A53" s="4" t="s">
        <v>152</v>
      </c>
      <c r="B53" s="3">
        <v>46199</v>
      </c>
      <c r="C53" s="3">
        <v>46200</v>
      </c>
      <c r="D53" s="2" t="s">
        <v>15</v>
      </c>
      <c r="E53" s="2" t="s">
        <v>44</v>
      </c>
      <c r="F53" s="2" t="s">
        <v>17</v>
      </c>
      <c r="G53" s="2" t="s">
        <v>18</v>
      </c>
      <c r="H53" s="2" t="s">
        <v>45</v>
      </c>
      <c r="I53" s="2" t="s">
        <v>46</v>
      </c>
      <c r="J53" s="2">
        <v>9</v>
      </c>
      <c r="K53" s="2">
        <v>8</v>
      </c>
      <c r="L53" s="2" t="s">
        <v>29</v>
      </c>
      <c r="M53" s="2">
        <v>100</v>
      </c>
      <c r="N53" s="2" t="s">
        <v>153</v>
      </c>
      <c r="O53" s="2" t="str">
        <f t="shared" si="0"/>
        <v>Jun 2026</v>
      </c>
      <c r="P53" s="2">
        <f t="shared" si="1"/>
        <v>1</v>
      </c>
      <c r="Q53" s="5" t="str">
        <f t="shared" si="2"/>
        <v>L2/L3</v>
      </c>
    </row>
    <row r="54" spans="1:17" x14ac:dyDescent="0.3">
      <c r="A54" s="4" t="s">
        <v>154</v>
      </c>
      <c r="B54" s="3">
        <v>46200</v>
      </c>
      <c r="C54" s="3">
        <v>46200</v>
      </c>
      <c r="D54" s="2" t="s">
        <v>39</v>
      </c>
      <c r="E54" s="2" t="s">
        <v>33</v>
      </c>
      <c r="F54" s="2" t="s">
        <v>55</v>
      </c>
      <c r="G54" s="2" t="s">
        <v>35</v>
      </c>
      <c r="H54" s="2" t="s">
        <v>19</v>
      </c>
      <c r="I54" s="2" t="s">
        <v>36</v>
      </c>
      <c r="J54" s="2">
        <v>2</v>
      </c>
      <c r="K54" s="2">
        <v>24</v>
      </c>
      <c r="L54" s="2" t="s">
        <v>21</v>
      </c>
      <c r="M54" s="2">
        <v>2</v>
      </c>
      <c r="N54" s="2" t="s">
        <v>155</v>
      </c>
      <c r="O54" s="2" t="str">
        <f t="shared" si="0"/>
        <v>Jun 2026</v>
      </c>
      <c r="P54" s="2">
        <f t="shared" si="1"/>
        <v>-22</v>
      </c>
      <c r="Q54" s="5" t="str">
        <f t="shared" si="2"/>
        <v>L2/L3</v>
      </c>
    </row>
    <row r="55" spans="1:17" x14ac:dyDescent="0.3">
      <c r="A55" s="4" t="s">
        <v>156</v>
      </c>
      <c r="B55" s="3">
        <v>46200</v>
      </c>
      <c r="C55" s="3">
        <v>46201</v>
      </c>
      <c r="D55" s="2" t="s">
        <v>24</v>
      </c>
      <c r="E55" s="2" t="s">
        <v>25</v>
      </c>
      <c r="F55" s="2" t="s">
        <v>26</v>
      </c>
      <c r="G55" s="2" t="s">
        <v>18</v>
      </c>
      <c r="H55" s="2" t="s">
        <v>27</v>
      </c>
      <c r="I55" s="2" t="s">
        <v>28</v>
      </c>
      <c r="J55" s="2">
        <v>7</v>
      </c>
      <c r="K55" s="2">
        <v>4</v>
      </c>
      <c r="L55" s="2" t="s">
        <v>29</v>
      </c>
      <c r="M55" s="2">
        <v>720</v>
      </c>
      <c r="N55" s="2" t="s">
        <v>157</v>
      </c>
      <c r="O55" s="2" t="str">
        <f t="shared" si="0"/>
        <v>Jun 2026</v>
      </c>
      <c r="P55" s="2">
        <f t="shared" si="1"/>
        <v>3</v>
      </c>
      <c r="Q55" s="5" t="str">
        <f t="shared" si="2"/>
        <v>L1</v>
      </c>
    </row>
    <row r="56" spans="1:17" x14ac:dyDescent="0.3">
      <c r="A56" s="4" t="s">
        <v>158</v>
      </c>
      <c r="B56" s="3">
        <v>46201</v>
      </c>
      <c r="C56" s="3">
        <v>46201</v>
      </c>
      <c r="D56" s="2" t="s">
        <v>49</v>
      </c>
      <c r="E56" s="2" t="s">
        <v>16</v>
      </c>
      <c r="F56" s="2" t="s">
        <v>34</v>
      </c>
      <c r="G56" s="2" t="s">
        <v>18</v>
      </c>
      <c r="H56" s="2" t="s">
        <v>19</v>
      </c>
      <c r="I56" s="2" t="s">
        <v>84</v>
      </c>
      <c r="J56" s="2">
        <v>3</v>
      </c>
      <c r="K56" s="2">
        <v>8</v>
      </c>
      <c r="L56" s="2" t="s">
        <v>21</v>
      </c>
      <c r="M56" s="2">
        <v>9</v>
      </c>
      <c r="N56" s="2" t="s">
        <v>159</v>
      </c>
      <c r="O56" s="2" t="str">
        <f t="shared" si="0"/>
        <v>Jun 2026</v>
      </c>
      <c r="P56" s="2">
        <f t="shared" si="1"/>
        <v>-5</v>
      </c>
      <c r="Q56" s="5" t="str">
        <f t="shared" si="2"/>
        <v>L2/L3</v>
      </c>
    </row>
    <row r="57" spans="1:17" x14ac:dyDescent="0.3">
      <c r="A57" s="4" t="s">
        <v>160</v>
      </c>
      <c r="B57" s="3">
        <v>46201</v>
      </c>
      <c r="C57" s="3">
        <v>46202</v>
      </c>
      <c r="D57" s="2" t="s">
        <v>32</v>
      </c>
      <c r="E57" s="2" t="s">
        <v>50</v>
      </c>
      <c r="F57" s="2" t="s">
        <v>17</v>
      </c>
      <c r="G57" s="2" t="s">
        <v>18</v>
      </c>
      <c r="H57" s="2" t="s">
        <v>51</v>
      </c>
      <c r="I57" s="2" t="s">
        <v>70</v>
      </c>
      <c r="J57" s="2">
        <v>9</v>
      </c>
      <c r="K57" s="2">
        <v>8</v>
      </c>
      <c r="L57" s="2" t="s">
        <v>29</v>
      </c>
      <c r="M57" s="2">
        <v>48</v>
      </c>
      <c r="N57" s="2" t="s">
        <v>161</v>
      </c>
      <c r="O57" s="2" t="str">
        <f t="shared" si="0"/>
        <v>Jun 2026</v>
      </c>
      <c r="P57" s="2">
        <f t="shared" si="1"/>
        <v>1</v>
      </c>
      <c r="Q57" s="5" t="str">
        <f t="shared" si="2"/>
        <v>L1</v>
      </c>
    </row>
    <row r="58" spans="1:17" x14ac:dyDescent="0.3">
      <c r="A58" s="4" t="s">
        <v>162</v>
      </c>
      <c r="B58" s="3">
        <v>46202</v>
      </c>
      <c r="C58" s="3">
        <v>46202</v>
      </c>
      <c r="D58" s="2" t="s">
        <v>15</v>
      </c>
      <c r="E58" s="2" t="s">
        <v>40</v>
      </c>
      <c r="F58" s="2" t="s">
        <v>34</v>
      </c>
      <c r="G58" s="2" t="s">
        <v>18</v>
      </c>
      <c r="H58" s="2" t="s">
        <v>27</v>
      </c>
      <c r="I58" s="2" t="s">
        <v>89</v>
      </c>
      <c r="J58" s="2">
        <v>5</v>
      </c>
      <c r="K58" s="2">
        <v>8</v>
      </c>
      <c r="L58" s="2" t="s">
        <v>21</v>
      </c>
      <c r="M58" s="2">
        <v>55</v>
      </c>
      <c r="N58" s="2" t="s">
        <v>163</v>
      </c>
      <c r="O58" s="2" t="str">
        <f t="shared" si="0"/>
        <v>Jun 2026</v>
      </c>
      <c r="P58" s="2">
        <f t="shared" si="1"/>
        <v>-3</v>
      </c>
      <c r="Q58" s="5" t="str">
        <f t="shared" si="2"/>
        <v>L2/L3</v>
      </c>
    </row>
    <row r="59" spans="1:17" x14ac:dyDescent="0.3">
      <c r="A59" s="4" t="s">
        <v>164</v>
      </c>
      <c r="B59" s="3">
        <v>46202</v>
      </c>
      <c r="C59" s="3">
        <v>46203</v>
      </c>
      <c r="D59" s="2" t="s">
        <v>39</v>
      </c>
      <c r="E59" s="2" t="s">
        <v>44</v>
      </c>
      <c r="F59" s="2" t="s">
        <v>26</v>
      </c>
      <c r="G59" s="2" t="s">
        <v>18</v>
      </c>
      <c r="H59" s="2" t="s">
        <v>45</v>
      </c>
      <c r="I59" s="2" t="s">
        <v>104</v>
      </c>
      <c r="J59" s="2">
        <v>6</v>
      </c>
      <c r="K59" s="2">
        <v>4</v>
      </c>
      <c r="L59" s="2" t="s">
        <v>29</v>
      </c>
      <c r="M59" s="2">
        <v>390</v>
      </c>
      <c r="N59" s="2" t="s">
        <v>165</v>
      </c>
      <c r="O59" s="2" t="str">
        <f t="shared" si="0"/>
        <v>Jun 2026</v>
      </c>
      <c r="P59" s="2">
        <f t="shared" si="1"/>
        <v>2</v>
      </c>
      <c r="Q59" s="5" t="str">
        <f t="shared" si="2"/>
        <v>L2/L3</v>
      </c>
    </row>
    <row r="60" spans="1:17" x14ac:dyDescent="0.3">
      <c r="A60" s="4" t="s">
        <v>166</v>
      </c>
      <c r="B60" s="3">
        <v>46203</v>
      </c>
      <c r="C60" s="3">
        <v>46203</v>
      </c>
      <c r="D60" s="2" t="s">
        <v>24</v>
      </c>
      <c r="E60" s="2" t="s">
        <v>33</v>
      </c>
      <c r="F60" s="2" t="s">
        <v>17</v>
      </c>
      <c r="G60" s="2" t="s">
        <v>18</v>
      </c>
      <c r="H60" s="2" t="s">
        <v>19</v>
      </c>
      <c r="I60" s="2" t="s">
        <v>76</v>
      </c>
      <c r="J60" s="2">
        <v>3</v>
      </c>
      <c r="K60" s="2">
        <v>4</v>
      </c>
      <c r="L60" s="2" t="s">
        <v>21</v>
      </c>
      <c r="M60" s="2">
        <v>11</v>
      </c>
      <c r="N60" s="2" t="s">
        <v>167</v>
      </c>
      <c r="O60" s="2" t="str">
        <f t="shared" si="0"/>
        <v>Jun 2026</v>
      </c>
      <c r="P60" s="2">
        <f t="shared" si="1"/>
        <v>-1</v>
      </c>
      <c r="Q60" s="5" t="str">
        <f t="shared" si="2"/>
        <v>L2/L3</v>
      </c>
    </row>
    <row r="61" spans="1:17" x14ac:dyDescent="0.3">
      <c r="A61" s="6" t="s">
        <v>168</v>
      </c>
      <c r="B61" s="7">
        <v>46203</v>
      </c>
      <c r="C61" s="7">
        <v>46204</v>
      </c>
      <c r="D61" s="8" t="s">
        <v>49</v>
      </c>
      <c r="E61" s="8" t="s">
        <v>25</v>
      </c>
      <c r="F61" s="8" t="s">
        <v>17</v>
      </c>
      <c r="G61" s="8" t="s">
        <v>18</v>
      </c>
      <c r="H61" s="8" t="s">
        <v>27</v>
      </c>
      <c r="I61" s="8" t="s">
        <v>28</v>
      </c>
      <c r="J61" s="8">
        <v>9</v>
      </c>
      <c r="K61" s="8">
        <v>8</v>
      </c>
      <c r="L61" s="8" t="s">
        <v>29</v>
      </c>
      <c r="M61" s="8">
        <v>205</v>
      </c>
      <c r="N61" s="8" t="s">
        <v>169</v>
      </c>
      <c r="O61" s="8" t="str">
        <f t="shared" si="0"/>
        <v>Jun 2026</v>
      </c>
      <c r="P61" s="8">
        <f t="shared" si="1"/>
        <v>1</v>
      </c>
      <c r="Q61" s="9" t="str">
        <f t="shared" si="2"/>
        <v>L1</v>
      </c>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9B59B-3285-47CC-9C36-07C878052265}">
  <dimension ref="A1:R47"/>
  <sheetViews>
    <sheetView tabSelected="1" zoomScale="51" zoomScaleNormal="100" workbookViewId="0">
      <selection activeCell="W16" sqref="W16"/>
    </sheetView>
  </sheetViews>
  <sheetFormatPr defaultRowHeight="14.4" x14ac:dyDescent="0.3"/>
  <sheetData>
    <row r="1" spans="1:18" x14ac:dyDescent="0.3">
      <c r="A1" s="17" t="s">
        <v>173</v>
      </c>
      <c r="B1" s="18"/>
      <c r="C1" s="18"/>
      <c r="D1" s="18"/>
      <c r="E1" s="18"/>
      <c r="F1" s="18"/>
      <c r="G1" s="18"/>
      <c r="H1" s="18"/>
      <c r="I1" s="18"/>
      <c r="J1" s="18"/>
      <c r="K1" s="18"/>
      <c r="L1" s="18"/>
      <c r="M1" s="18"/>
      <c r="N1" s="18"/>
    </row>
    <row r="2" spans="1:18" x14ac:dyDescent="0.3">
      <c r="A2" s="18"/>
      <c r="B2" s="18"/>
      <c r="C2" s="18"/>
      <c r="D2" s="18"/>
      <c r="E2" s="18"/>
      <c r="F2" s="18"/>
      <c r="G2" s="18"/>
      <c r="H2" s="18"/>
      <c r="I2" s="18"/>
      <c r="J2" s="18"/>
      <c r="K2" s="18"/>
      <c r="L2" s="18"/>
      <c r="M2" s="18"/>
      <c r="N2" s="18"/>
    </row>
    <row r="4" spans="1:18" s="10" customFormat="1" x14ac:dyDescent="0.3">
      <c r="A4" s="16" t="s">
        <v>174</v>
      </c>
      <c r="B4" s="16"/>
      <c r="D4" s="16" t="s">
        <v>175</v>
      </c>
      <c r="E4" s="16"/>
      <c r="G4" s="16" t="s">
        <v>176</v>
      </c>
      <c r="H4" s="16"/>
      <c r="J4" s="16" t="s">
        <v>177</v>
      </c>
      <c r="K4" s="16"/>
      <c r="M4" s="16" t="s">
        <v>178</v>
      </c>
      <c r="N4" s="16"/>
    </row>
    <row r="5" spans="1:18" s="10" customFormat="1" x14ac:dyDescent="0.3">
      <c r="A5" s="16">
        <f>COUNTA(incidents[Incident_ID])</f>
        <v>60</v>
      </c>
      <c r="B5" s="16"/>
      <c r="D5" s="16">
        <f>COUNTIF(incidents[SLA_Status],"Met")/COUNTA(incidents[Incident_ID])</f>
        <v>0.55000000000000004</v>
      </c>
      <c r="E5" s="16"/>
      <c r="G5" s="16">
        <f>AVERAGE(incidents[Resolution_Time_Hours])</f>
        <v>5.8166666666666664</v>
      </c>
      <c r="H5" s="16"/>
      <c r="J5" s="16">
        <f>COUNTIF(incidents[Priority],"P1")</f>
        <v>14</v>
      </c>
      <c r="K5" s="16"/>
      <c r="M5" s="16">
        <f>SUM(incidents[Users_Affected])</f>
        <v>9674</v>
      </c>
      <c r="N5" s="16"/>
    </row>
    <row r="6" spans="1:18" x14ac:dyDescent="0.3">
      <c r="R6" s="10"/>
    </row>
    <row r="45" spans="2:14" x14ac:dyDescent="0.3">
      <c r="B45" s="23" t="s">
        <v>187</v>
      </c>
      <c r="C45" s="15"/>
      <c r="D45" s="15"/>
      <c r="E45" s="15"/>
      <c r="F45" s="15"/>
      <c r="G45" s="15"/>
      <c r="H45" s="15"/>
      <c r="I45" s="15"/>
      <c r="J45" s="15"/>
      <c r="K45" s="15"/>
      <c r="L45" s="15"/>
      <c r="M45" s="15"/>
      <c r="N45" s="15"/>
    </row>
    <row r="46" spans="2:14" x14ac:dyDescent="0.3">
      <c r="B46" s="15"/>
      <c r="C46" s="15"/>
      <c r="D46" s="15"/>
      <c r="E46" s="15"/>
      <c r="F46" s="15"/>
      <c r="G46" s="15"/>
      <c r="H46" s="15"/>
      <c r="I46" s="15"/>
      <c r="J46" s="15"/>
      <c r="K46" s="15"/>
      <c r="L46" s="15"/>
      <c r="M46" s="15"/>
      <c r="N46" s="15"/>
    </row>
    <row r="47" spans="2:14" x14ac:dyDescent="0.3">
      <c r="B47" s="15"/>
      <c r="C47" s="15"/>
      <c r="D47" s="15"/>
      <c r="E47" s="15"/>
      <c r="F47" s="15"/>
      <c r="G47" s="15"/>
      <c r="H47" s="15"/>
      <c r="I47" s="15"/>
      <c r="J47" s="15"/>
      <c r="K47" s="15"/>
      <c r="L47" s="15"/>
      <c r="M47" s="15"/>
      <c r="N47" s="15"/>
    </row>
  </sheetData>
  <mergeCells count="12">
    <mergeCell ref="J4:K4"/>
    <mergeCell ref="M4:N4"/>
    <mergeCell ref="B45:N47"/>
    <mergeCell ref="A1:N2"/>
    <mergeCell ref="A5:B5"/>
    <mergeCell ref="D5:E5"/>
    <mergeCell ref="G5:H5"/>
    <mergeCell ref="J5:K5"/>
    <mergeCell ref="M5:N5"/>
    <mergeCell ref="A4:B4"/>
    <mergeCell ref="D4:E4"/>
    <mergeCell ref="G4: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pivot_data</vt:lpstr>
      <vt:lpstr>incidents_data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YADAV</dc:creator>
  <cp:lastModifiedBy>HARSHIT YADAV</cp:lastModifiedBy>
  <dcterms:created xsi:type="dcterms:W3CDTF">2026-07-09T12:26:19Z</dcterms:created>
  <dcterms:modified xsi:type="dcterms:W3CDTF">2026-07-09T23:11:13Z</dcterms:modified>
</cp:coreProperties>
</file>